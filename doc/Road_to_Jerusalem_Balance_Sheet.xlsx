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hien\Desktop\Projects\Games\doc\"/>
    </mc:Choice>
  </mc:AlternateContent>
  <xr:revisionPtr revIDLastSave="0" documentId="13_ncr:1_{54338953-FEF9-4623-A46D-7C72D018CD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ad Me" sheetId="1" r:id="rId1"/>
    <sheet name="Matchup" sheetId="2" r:id="rId2"/>
    <sheet name="Units" sheetId="3" r:id="rId3"/>
    <sheet name="Classes" sheetId="4" r:id="rId4"/>
    <sheet name="Skills" sheetId="5" r:id="rId5"/>
    <sheet name="Stage Summary" sheetId="6" r:id="rId6"/>
    <sheet name="Constants" sheetId="7" r:id="rId7"/>
    <sheet name="Level Growth" sheetId="8" r:id="rId8"/>
  </sheets>
  <definedNames>
    <definedName name="_xlnm._FilterDatabase" localSheetId="6" hidden="1">Constants!$A$1:$E$65</definedName>
    <definedName name="_xlnm._FilterDatabase" localSheetId="4" hidden="1">Skills!$A$1:$G$29</definedName>
    <definedName name="_xlnm._FilterDatabase" localSheetId="2" hidden="1">Units!$A$1:$AE$108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8" l="1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H5" i="8"/>
  <c r="G5" i="8"/>
  <c r="F5" i="8"/>
  <c r="E5" i="8"/>
  <c r="H4" i="8"/>
  <c r="G4" i="8"/>
  <c r="F4" i="8"/>
  <c r="E4" i="8"/>
  <c r="H8" i="6"/>
  <c r="G8" i="6"/>
  <c r="D8" i="6"/>
  <c r="C8" i="6"/>
  <c r="H7" i="6"/>
  <c r="G7" i="6"/>
  <c r="D7" i="6"/>
  <c r="K7" i="6" s="1"/>
  <c r="C7" i="6"/>
  <c r="H6" i="6"/>
  <c r="G6" i="6"/>
  <c r="D6" i="6"/>
  <c r="K6" i="6" s="1"/>
  <c r="C6" i="6"/>
  <c r="H5" i="6"/>
  <c r="G5" i="6"/>
  <c r="D5" i="6"/>
  <c r="K5" i="6" s="1"/>
  <c r="C5" i="6"/>
  <c r="H4" i="6"/>
  <c r="G4" i="6"/>
  <c r="D4" i="6"/>
  <c r="K4" i="6" s="1"/>
  <c r="C4" i="6"/>
  <c r="H3" i="6"/>
  <c r="G3" i="6"/>
  <c r="D3" i="6"/>
  <c r="K3" i="6" s="1"/>
  <c r="C3" i="6"/>
  <c r="H2" i="6"/>
  <c r="G2" i="6"/>
  <c r="D2" i="6"/>
  <c r="K2" i="6" s="1"/>
  <c r="C2" i="6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  <c r="G3" i="5"/>
  <c r="F3" i="5"/>
  <c r="E3" i="5"/>
  <c r="G2" i="5"/>
  <c r="F2" i="5"/>
  <c r="E2" i="5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V17" i="4"/>
  <c r="U17" i="4"/>
  <c r="T17" i="4"/>
  <c r="S17" i="4"/>
  <c r="Q17" i="4"/>
  <c r="P17" i="4"/>
  <c r="R17" i="4" s="1"/>
  <c r="V16" i="4"/>
  <c r="U16" i="4"/>
  <c r="T16" i="4"/>
  <c r="S16" i="4"/>
  <c r="Q16" i="4"/>
  <c r="P16" i="4"/>
  <c r="R16" i="4" s="1"/>
  <c r="V15" i="4"/>
  <c r="U15" i="4"/>
  <c r="T15" i="4"/>
  <c r="S15" i="4"/>
  <c r="Q15" i="4"/>
  <c r="P15" i="4"/>
  <c r="R15" i="4" s="1"/>
  <c r="V14" i="4"/>
  <c r="U14" i="4"/>
  <c r="T14" i="4"/>
  <c r="S14" i="4"/>
  <c r="Q14" i="4"/>
  <c r="P14" i="4"/>
  <c r="R14" i="4" s="1"/>
  <c r="V13" i="4"/>
  <c r="U13" i="4"/>
  <c r="T13" i="4"/>
  <c r="S13" i="4"/>
  <c r="Q13" i="4"/>
  <c r="P13" i="4"/>
  <c r="V12" i="4"/>
  <c r="U12" i="4"/>
  <c r="T12" i="4"/>
  <c r="S12" i="4"/>
  <c r="Q12" i="4"/>
  <c r="P12" i="4"/>
  <c r="R12" i="4" s="1"/>
  <c r="V11" i="4"/>
  <c r="U11" i="4"/>
  <c r="T11" i="4"/>
  <c r="S11" i="4"/>
  <c r="Q11" i="4"/>
  <c r="P11" i="4"/>
  <c r="V10" i="4"/>
  <c r="U10" i="4"/>
  <c r="T10" i="4"/>
  <c r="S10" i="4"/>
  <c r="Q10" i="4"/>
  <c r="P10" i="4"/>
  <c r="R10" i="4" s="1"/>
  <c r="V9" i="4"/>
  <c r="U9" i="4"/>
  <c r="T9" i="4"/>
  <c r="S9" i="4"/>
  <c r="Q9" i="4"/>
  <c r="R9" i="4" s="1"/>
  <c r="P9" i="4"/>
  <c r="V8" i="4"/>
  <c r="U8" i="4"/>
  <c r="T8" i="4"/>
  <c r="S8" i="4"/>
  <c r="Q8" i="4"/>
  <c r="P8" i="4"/>
  <c r="V7" i="4"/>
  <c r="U7" i="4"/>
  <c r="T7" i="4"/>
  <c r="S7" i="4"/>
  <c r="Q7" i="4"/>
  <c r="P7" i="4"/>
  <c r="R7" i="4" s="1"/>
  <c r="V6" i="4"/>
  <c r="U6" i="4"/>
  <c r="T6" i="4"/>
  <c r="S6" i="4"/>
  <c r="Q6" i="4"/>
  <c r="P6" i="4"/>
  <c r="R6" i="4" s="1"/>
  <c r="V5" i="4"/>
  <c r="U5" i="4"/>
  <c r="T5" i="4"/>
  <c r="S5" i="4"/>
  <c r="Q5" i="4"/>
  <c r="P5" i="4"/>
  <c r="V4" i="4"/>
  <c r="U4" i="4"/>
  <c r="T4" i="4"/>
  <c r="S4" i="4"/>
  <c r="Q4" i="4"/>
  <c r="P4" i="4"/>
  <c r="R4" i="4" s="1"/>
  <c r="V3" i="4"/>
  <c r="U3" i="4"/>
  <c r="T3" i="4"/>
  <c r="S3" i="4"/>
  <c r="Q3" i="4"/>
  <c r="P3" i="4"/>
  <c r="V2" i="4"/>
  <c r="U2" i="4"/>
  <c r="T2" i="4"/>
  <c r="S2" i="4"/>
  <c r="I21" i="4" s="1"/>
  <c r="Q2" i="4"/>
  <c r="R2" i="4" s="1"/>
  <c r="P2" i="4"/>
  <c r="AE108" i="3"/>
  <c r="AD108" i="3"/>
  <c r="AB108" i="3"/>
  <c r="AA108" i="3"/>
  <c r="X108" i="3"/>
  <c r="V108" i="3"/>
  <c r="U108" i="3"/>
  <c r="AC108" i="3" s="1"/>
  <c r="T108" i="3"/>
  <c r="Z108" i="3" s="1"/>
  <c r="S108" i="3"/>
  <c r="W108" i="3" s="1"/>
  <c r="A108" i="3"/>
  <c r="AE107" i="3"/>
  <c r="AD107" i="3"/>
  <c r="AB107" i="3"/>
  <c r="AA107" i="3"/>
  <c r="X107" i="3"/>
  <c r="V107" i="3"/>
  <c r="U107" i="3"/>
  <c r="AC107" i="3" s="1"/>
  <c r="T107" i="3"/>
  <c r="Z107" i="3" s="1"/>
  <c r="S107" i="3"/>
  <c r="W107" i="3" s="1"/>
  <c r="Y107" i="3" s="1"/>
  <c r="A107" i="3"/>
  <c r="AE106" i="3"/>
  <c r="AD106" i="3"/>
  <c r="AB106" i="3"/>
  <c r="AA106" i="3"/>
  <c r="X106" i="3"/>
  <c r="V106" i="3"/>
  <c r="U106" i="3"/>
  <c r="AC106" i="3" s="1"/>
  <c r="T106" i="3"/>
  <c r="Z106" i="3" s="1"/>
  <c r="S106" i="3"/>
  <c r="W106" i="3" s="1"/>
  <c r="A106" i="3"/>
  <c r="AE105" i="3"/>
  <c r="AD105" i="3"/>
  <c r="AB105" i="3"/>
  <c r="AA105" i="3"/>
  <c r="Z105" i="3"/>
  <c r="X105" i="3"/>
  <c r="V105" i="3"/>
  <c r="U105" i="3"/>
  <c r="AC105" i="3" s="1"/>
  <c r="T105" i="3"/>
  <c r="S105" i="3"/>
  <c r="W105" i="3" s="1"/>
  <c r="Y105" i="3" s="1"/>
  <c r="A105" i="3"/>
  <c r="AE104" i="3"/>
  <c r="AD104" i="3"/>
  <c r="AB104" i="3"/>
  <c r="AA104" i="3"/>
  <c r="X104" i="3"/>
  <c r="V104" i="3"/>
  <c r="U104" i="3"/>
  <c r="AC104" i="3" s="1"/>
  <c r="T104" i="3"/>
  <c r="Z104" i="3" s="1"/>
  <c r="S104" i="3"/>
  <c r="W104" i="3" s="1"/>
  <c r="Y104" i="3" s="1"/>
  <c r="A104" i="3"/>
  <c r="AE103" i="3"/>
  <c r="AD103" i="3"/>
  <c r="AB103" i="3"/>
  <c r="AA103" i="3"/>
  <c r="X103" i="3"/>
  <c r="V103" i="3"/>
  <c r="U103" i="3"/>
  <c r="AC103" i="3" s="1"/>
  <c r="T103" i="3"/>
  <c r="Z103" i="3" s="1"/>
  <c r="S103" i="3"/>
  <c r="W103" i="3" s="1"/>
  <c r="A103" i="3"/>
  <c r="AE102" i="3"/>
  <c r="AD102" i="3"/>
  <c r="AB102" i="3"/>
  <c r="AA102" i="3"/>
  <c r="X102" i="3"/>
  <c r="V102" i="3"/>
  <c r="U102" i="3"/>
  <c r="T102" i="3"/>
  <c r="Z102" i="3" s="1"/>
  <c r="S102" i="3"/>
  <c r="W102" i="3" s="1"/>
  <c r="Y102" i="3" s="1"/>
  <c r="A102" i="3"/>
  <c r="AE101" i="3"/>
  <c r="AD101" i="3"/>
  <c r="AB101" i="3"/>
  <c r="AA101" i="3"/>
  <c r="X101" i="3"/>
  <c r="V101" i="3"/>
  <c r="U101" i="3"/>
  <c r="AC101" i="3" s="1"/>
  <c r="T101" i="3"/>
  <c r="Z101" i="3" s="1"/>
  <c r="S101" i="3"/>
  <c r="W101" i="3" s="1"/>
  <c r="Y101" i="3" s="1"/>
  <c r="A101" i="3"/>
  <c r="AE100" i="3"/>
  <c r="AD100" i="3"/>
  <c r="AB100" i="3"/>
  <c r="AA100" i="3"/>
  <c r="X100" i="3"/>
  <c r="V100" i="3"/>
  <c r="U100" i="3"/>
  <c r="AC100" i="3" s="1"/>
  <c r="T100" i="3"/>
  <c r="Z100" i="3" s="1"/>
  <c r="S100" i="3"/>
  <c r="W100" i="3" s="1"/>
  <c r="A100" i="3"/>
  <c r="AE99" i="3"/>
  <c r="AD99" i="3"/>
  <c r="AB99" i="3"/>
  <c r="AA99" i="3"/>
  <c r="X99" i="3"/>
  <c r="V99" i="3"/>
  <c r="U99" i="3"/>
  <c r="AC99" i="3" s="1"/>
  <c r="T99" i="3"/>
  <c r="Z99" i="3" s="1"/>
  <c r="S99" i="3"/>
  <c r="W99" i="3" s="1"/>
  <c r="Y99" i="3" s="1"/>
  <c r="A99" i="3"/>
  <c r="AE98" i="3"/>
  <c r="AD98" i="3"/>
  <c r="AB98" i="3"/>
  <c r="AA98" i="3"/>
  <c r="X98" i="3"/>
  <c r="V98" i="3"/>
  <c r="U98" i="3"/>
  <c r="AC98" i="3" s="1"/>
  <c r="T98" i="3"/>
  <c r="Z98" i="3" s="1"/>
  <c r="S98" i="3"/>
  <c r="W98" i="3" s="1"/>
  <c r="Y98" i="3" s="1"/>
  <c r="A98" i="3"/>
  <c r="AE97" i="3"/>
  <c r="AD97" i="3"/>
  <c r="AB97" i="3"/>
  <c r="AA97" i="3"/>
  <c r="X97" i="3"/>
  <c r="V97" i="3"/>
  <c r="U97" i="3"/>
  <c r="AC97" i="3" s="1"/>
  <c r="T97" i="3"/>
  <c r="Z97" i="3" s="1"/>
  <c r="S97" i="3"/>
  <c r="W97" i="3" s="1"/>
  <c r="A97" i="3"/>
  <c r="AE96" i="3"/>
  <c r="AD96" i="3"/>
  <c r="AB96" i="3"/>
  <c r="AA96" i="3"/>
  <c r="X96" i="3"/>
  <c r="V96" i="3"/>
  <c r="U96" i="3"/>
  <c r="AC96" i="3" s="1"/>
  <c r="T96" i="3"/>
  <c r="Z96" i="3" s="1"/>
  <c r="S96" i="3"/>
  <c r="W96" i="3" s="1"/>
  <c r="Y96" i="3" s="1"/>
  <c r="A96" i="3"/>
  <c r="AE95" i="3"/>
  <c r="AD95" i="3"/>
  <c r="AB95" i="3"/>
  <c r="AA95" i="3"/>
  <c r="X95" i="3"/>
  <c r="V95" i="3"/>
  <c r="U95" i="3"/>
  <c r="AC95" i="3" s="1"/>
  <c r="T95" i="3"/>
  <c r="Z95" i="3" s="1"/>
  <c r="S95" i="3"/>
  <c r="W95" i="3" s="1"/>
  <c r="Y95" i="3" s="1"/>
  <c r="A95" i="3"/>
  <c r="AE94" i="3"/>
  <c r="AD94" i="3"/>
  <c r="AB94" i="3"/>
  <c r="AA94" i="3"/>
  <c r="X94" i="3"/>
  <c r="V94" i="3"/>
  <c r="U94" i="3"/>
  <c r="AC94" i="3" s="1"/>
  <c r="T94" i="3"/>
  <c r="Z94" i="3" s="1"/>
  <c r="S94" i="3"/>
  <c r="W94" i="3" s="1"/>
  <c r="Y94" i="3" s="1"/>
  <c r="A94" i="3"/>
  <c r="AE93" i="3"/>
  <c r="AD93" i="3"/>
  <c r="AB93" i="3"/>
  <c r="AA93" i="3"/>
  <c r="X93" i="3"/>
  <c r="V93" i="3"/>
  <c r="U93" i="3"/>
  <c r="AC93" i="3" s="1"/>
  <c r="T93" i="3"/>
  <c r="Z93" i="3" s="1"/>
  <c r="S93" i="3"/>
  <c r="W93" i="3" s="1"/>
  <c r="Y93" i="3" s="1"/>
  <c r="A93" i="3"/>
  <c r="AE92" i="3"/>
  <c r="AD92" i="3"/>
  <c r="AB92" i="3"/>
  <c r="AA92" i="3"/>
  <c r="X92" i="3"/>
  <c r="V92" i="3"/>
  <c r="U92" i="3"/>
  <c r="AC92" i="3" s="1"/>
  <c r="T92" i="3"/>
  <c r="Z92" i="3" s="1"/>
  <c r="S92" i="3"/>
  <c r="W92" i="3" s="1"/>
  <c r="A92" i="3"/>
  <c r="AE91" i="3"/>
  <c r="AD91" i="3"/>
  <c r="AB91" i="3"/>
  <c r="AA91" i="3"/>
  <c r="X91" i="3"/>
  <c r="V91" i="3"/>
  <c r="U91" i="3"/>
  <c r="AC91" i="3" s="1"/>
  <c r="T91" i="3"/>
  <c r="Z91" i="3" s="1"/>
  <c r="S91" i="3"/>
  <c r="W91" i="3" s="1"/>
  <c r="Y91" i="3" s="1"/>
  <c r="A91" i="3"/>
  <c r="AE90" i="3"/>
  <c r="AD90" i="3"/>
  <c r="AB90" i="3"/>
  <c r="AA90" i="3"/>
  <c r="X90" i="3"/>
  <c r="V90" i="3"/>
  <c r="U90" i="3"/>
  <c r="T90" i="3"/>
  <c r="Z90" i="3" s="1"/>
  <c r="S90" i="3"/>
  <c r="W90" i="3" s="1"/>
  <c r="A90" i="3"/>
  <c r="AE89" i="3"/>
  <c r="AD89" i="3"/>
  <c r="AC89" i="3"/>
  <c r="AB89" i="3"/>
  <c r="AA89" i="3"/>
  <c r="Z89" i="3"/>
  <c r="X89" i="3"/>
  <c r="V89" i="3"/>
  <c r="U89" i="3"/>
  <c r="T89" i="3"/>
  <c r="S89" i="3"/>
  <c r="W89" i="3" s="1"/>
  <c r="A89" i="3"/>
  <c r="AE88" i="3"/>
  <c r="AD88" i="3"/>
  <c r="AB88" i="3"/>
  <c r="AA88" i="3"/>
  <c r="X88" i="3"/>
  <c r="V88" i="3"/>
  <c r="U88" i="3"/>
  <c r="AC88" i="3" s="1"/>
  <c r="T88" i="3"/>
  <c r="Z88" i="3" s="1"/>
  <c r="S88" i="3"/>
  <c r="W88" i="3" s="1"/>
  <c r="Y88" i="3" s="1"/>
  <c r="A88" i="3"/>
  <c r="AE87" i="3"/>
  <c r="AD87" i="3"/>
  <c r="AC87" i="3"/>
  <c r="AB87" i="3"/>
  <c r="AA87" i="3"/>
  <c r="Z87" i="3"/>
  <c r="X87" i="3"/>
  <c r="W87" i="3"/>
  <c r="Y87" i="3" s="1"/>
  <c r="V87" i="3"/>
  <c r="U87" i="3"/>
  <c r="T87" i="3"/>
  <c r="S87" i="3"/>
  <c r="A87" i="3"/>
  <c r="AE86" i="3"/>
  <c r="AD86" i="3"/>
  <c r="AB86" i="3"/>
  <c r="AA86" i="3"/>
  <c r="X86" i="3"/>
  <c r="V86" i="3"/>
  <c r="U86" i="3"/>
  <c r="AC86" i="3" s="1"/>
  <c r="T86" i="3"/>
  <c r="Z86" i="3" s="1"/>
  <c r="S86" i="3"/>
  <c r="W86" i="3" s="1"/>
  <c r="Y86" i="3" s="1"/>
  <c r="A86" i="3"/>
  <c r="AE85" i="3"/>
  <c r="AD85" i="3"/>
  <c r="AB85" i="3"/>
  <c r="AA85" i="3"/>
  <c r="X85" i="3"/>
  <c r="V85" i="3"/>
  <c r="U85" i="3"/>
  <c r="AC85" i="3" s="1"/>
  <c r="T85" i="3"/>
  <c r="Z85" i="3" s="1"/>
  <c r="S85" i="3"/>
  <c r="W85" i="3" s="1"/>
  <c r="Y85" i="3" s="1"/>
  <c r="A85" i="3"/>
  <c r="AE84" i="3"/>
  <c r="AD84" i="3"/>
  <c r="AB84" i="3"/>
  <c r="AA84" i="3"/>
  <c r="X84" i="3"/>
  <c r="V84" i="3"/>
  <c r="U84" i="3"/>
  <c r="AC84" i="3" s="1"/>
  <c r="T84" i="3"/>
  <c r="Z84" i="3" s="1"/>
  <c r="S84" i="3"/>
  <c r="W84" i="3" s="1"/>
  <c r="A84" i="3"/>
  <c r="AE83" i="3"/>
  <c r="AD83" i="3"/>
  <c r="AB83" i="3"/>
  <c r="AA83" i="3"/>
  <c r="X83" i="3"/>
  <c r="V83" i="3"/>
  <c r="U83" i="3"/>
  <c r="T83" i="3"/>
  <c r="Z83" i="3" s="1"/>
  <c r="S83" i="3"/>
  <c r="W83" i="3" s="1"/>
  <c r="Y83" i="3" s="1"/>
  <c r="A83" i="3"/>
  <c r="AE82" i="3"/>
  <c r="AD82" i="3"/>
  <c r="AB82" i="3"/>
  <c r="AA82" i="3"/>
  <c r="X82" i="3"/>
  <c r="V82" i="3"/>
  <c r="U82" i="3"/>
  <c r="AC82" i="3" s="1"/>
  <c r="T82" i="3"/>
  <c r="Z82" i="3" s="1"/>
  <c r="S82" i="3"/>
  <c r="W82" i="3" s="1"/>
  <c r="Y82" i="3" s="1"/>
  <c r="A82" i="3"/>
  <c r="AE81" i="3"/>
  <c r="AD81" i="3"/>
  <c r="AB81" i="3"/>
  <c r="AA81" i="3"/>
  <c r="X81" i="3"/>
  <c r="V81" i="3"/>
  <c r="U81" i="3"/>
  <c r="AC81" i="3" s="1"/>
  <c r="T81" i="3"/>
  <c r="Z81" i="3" s="1"/>
  <c r="S81" i="3"/>
  <c r="W81" i="3" s="1"/>
  <c r="A81" i="3"/>
  <c r="AE80" i="3"/>
  <c r="AD80" i="3"/>
  <c r="AB80" i="3"/>
  <c r="AA80" i="3"/>
  <c r="Z80" i="3"/>
  <c r="X80" i="3"/>
  <c r="V80" i="3"/>
  <c r="U80" i="3"/>
  <c r="AC80" i="3" s="1"/>
  <c r="T80" i="3"/>
  <c r="S80" i="3"/>
  <c r="W80" i="3" s="1"/>
  <c r="Y80" i="3" s="1"/>
  <c r="A80" i="3"/>
  <c r="AE79" i="3"/>
  <c r="AD79" i="3"/>
  <c r="AB79" i="3"/>
  <c r="AA79" i="3"/>
  <c r="X79" i="3"/>
  <c r="W79" i="3"/>
  <c r="Y79" i="3" s="1"/>
  <c r="V79" i="3"/>
  <c r="U79" i="3"/>
  <c r="AC79" i="3" s="1"/>
  <c r="T79" i="3"/>
  <c r="Z79" i="3" s="1"/>
  <c r="S79" i="3"/>
  <c r="A79" i="3"/>
  <c r="AE78" i="3"/>
  <c r="AD78" i="3"/>
  <c r="AB78" i="3"/>
  <c r="AA78" i="3"/>
  <c r="X78" i="3"/>
  <c r="V78" i="3"/>
  <c r="U78" i="3"/>
  <c r="AC78" i="3" s="1"/>
  <c r="T78" i="3"/>
  <c r="Z78" i="3" s="1"/>
  <c r="S78" i="3"/>
  <c r="W78" i="3" s="1"/>
  <c r="Y78" i="3" s="1"/>
  <c r="A78" i="3"/>
  <c r="AE77" i="3"/>
  <c r="AD77" i="3"/>
  <c r="AB77" i="3"/>
  <c r="AA77" i="3"/>
  <c r="X77" i="3"/>
  <c r="V77" i="3"/>
  <c r="U77" i="3"/>
  <c r="AC77" i="3" s="1"/>
  <c r="T77" i="3"/>
  <c r="Z77" i="3" s="1"/>
  <c r="S77" i="3"/>
  <c r="W77" i="3" s="1"/>
  <c r="Y77" i="3" s="1"/>
  <c r="A77" i="3"/>
  <c r="AE76" i="3"/>
  <c r="AD76" i="3"/>
  <c r="AB76" i="3"/>
  <c r="AA76" i="3"/>
  <c r="X76" i="3"/>
  <c r="V76" i="3"/>
  <c r="U76" i="3"/>
  <c r="AC76" i="3" s="1"/>
  <c r="T76" i="3"/>
  <c r="Z76" i="3" s="1"/>
  <c r="S76" i="3"/>
  <c r="W76" i="3" s="1"/>
  <c r="A76" i="3"/>
  <c r="AE75" i="3"/>
  <c r="AD75" i="3"/>
  <c r="AB75" i="3"/>
  <c r="AA75" i="3"/>
  <c r="X75" i="3"/>
  <c r="V75" i="3"/>
  <c r="U75" i="3"/>
  <c r="AC75" i="3" s="1"/>
  <c r="T75" i="3"/>
  <c r="Z75" i="3" s="1"/>
  <c r="S75" i="3"/>
  <c r="W75" i="3" s="1"/>
  <c r="Y75" i="3" s="1"/>
  <c r="A75" i="3"/>
  <c r="AE74" i="3"/>
  <c r="AD74" i="3"/>
  <c r="AB74" i="3"/>
  <c r="AA74" i="3"/>
  <c r="X74" i="3"/>
  <c r="V74" i="3"/>
  <c r="U74" i="3"/>
  <c r="AC74" i="3" s="1"/>
  <c r="T74" i="3"/>
  <c r="Z74" i="3" s="1"/>
  <c r="S74" i="3"/>
  <c r="W74" i="3" s="1"/>
  <c r="A74" i="3"/>
  <c r="AE73" i="3"/>
  <c r="AD73" i="3"/>
  <c r="AC73" i="3"/>
  <c r="AB73" i="3"/>
  <c r="AA73" i="3"/>
  <c r="X73" i="3"/>
  <c r="V73" i="3"/>
  <c r="U73" i="3"/>
  <c r="T73" i="3"/>
  <c r="Z73" i="3" s="1"/>
  <c r="S73" i="3"/>
  <c r="W73" i="3" s="1"/>
  <c r="A73" i="3"/>
  <c r="AE72" i="3"/>
  <c r="AD72" i="3"/>
  <c r="AB72" i="3"/>
  <c r="AA72" i="3"/>
  <c r="Z72" i="3"/>
  <c r="X72" i="3"/>
  <c r="V72" i="3"/>
  <c r="U72" i="3"/>
  <c r="AC72" i="3" s="1"/>
  <c r="T72" i="3"/>
  <c r="S72" i="3"/>
  <c r="W72" i="3" s="1"/>
  <c r="Y72" i="3" s="1"/>
  <c r="A72" i="3"/>
  <c r="AE71" i="3"/>
  <c r="AD71" i="3"/>
  <c r="AB71" i="3"/>
  <c r="AA71" i="3"/>
  <c r="Z71" i="3"/>
  <c r="X71" i="3"/>
  <c r="V71" i="3"/>
  <c r="U71" i="3"/>
  <c r="AC71" i="3" s="1"/>
  <c r="T71" i="3"/>
  <c r="S71" i="3"/>
  <c r="W71" i="3" s="1"/>
  <c r="A71" i="3"/>
  <c r="AE70" i="3"/>
  <c r="AD70" i="3"/>
  <c r="AB70" i="3"/>
  <c r="AA70" i="3"/>
  <c r="X70" i="3"/>
  <c r="V70" i="3"/>
  <c r="U70" i="3"/>
  <c r="AC70" i="3" s="1"/>
  <c r="T70" i="3"/>
  <c r="Z70" i="3" s="1"/>
  <c r="S70" i="3"/>
  <c r="W70" i="3" s="1"/>
  <c r="Y70" i="3" s="1"/>
  <c r="A70" i="3"/>
  <c r="AE69" i="3"/>
  <c r="AD69" i="3"/>
  <c r="AB69" i="3"/>
  <c r="AA69" i="3"/>
  <c r="X69" i="3"/>
  <c r="V69" i="3"/>
  <c r="U69" i="3"/>
  <c r="AC69" i="3" s="1"/>
  <c r="T69" i="3"/>
  <c r="Z69" i="3" s="1"/>
  <c r="S69" i="3"/>
  <c r="W69" i="3" s="1"/>
  <c r="Y69" i="3" s="1"/>
  <c r="A69" i="3"/>
  <c r="AE68" i="3"/>
  <c r="AD68" i="3"/>
  <c r="AB68" i="3"/>
  <c r="AA68" i="3"/>
  <c r="X68" i="3"/>
  <c r="V68" i="3"/>
  <c r="U68" i="3"/>
  <c r="AC68" i="3" s="1"/>
  <c r="T68" i="3"/>
  <c r="Z68" i="3" s="1"/>
  <c r="S68" i="3"/>
  <c r="W68" i="3" s="1"/>
  <c r="A68" i="3"/>
  <c r="AE67" i="3"/>
  <c r="AD67" i="3"/>
  <c r="AB67" i="3"/>
  <c r="AA67" i="3"/>
  <c r="X67" i="3"/>
  <c r="V67" i="3"/>
  <c r="U67" i="3"/>
  <c r="T67" i="3"/>
  <c r="Z67" i="3" s="1"/>
  <c r="S67" i="3"/>
  <c r="W67" i="3" s="1"/>
  <c r="A67" i="3"/>
  <c r="AE66" i="3"/>
  <c r="AD66" i="3"/>
  <c r="AB66" i="3"/>
  <c r="AA66" i="3"/>
  <c r="X66" i="3"/>
  <c r="V66" i="3"/>
  <c r="U66" i="3"/>
  <c r="AC66" i="3" s="1"/>
  <c r="T66" i="3"/>
  <c r="Z66" i="3" s="1"/>
  <c r="S66" i="3"/>
  <c r="W66" i="3" s="1"/>
  <c r="Y66" i="3" s="1"/>
  <c r="A66" i="3"/>
  <c r="AE65" i="3"/>
  <c r="AD65" i="3"/>
  <c r="AB65" i="3"/>
  <c r="AA65" i="3"/>
  <c r="X65" i="3"/>
  <c r="V65" i="3"/>
  <c r="U65" i="3"/>
  <c r="AC65" i="3" s="1"/>
  <c r="T65" i="3"/>
  <c r="Z65" i="3" s="1"/>
  <c r="S65" i="3"/>
  <c r="W65" i="3" s="1"/>
  <c r="Y65" i="3" s="1"/>
  <c r="A65" i="3"/>
  <c r="AE64" i="3"/>
  <c r="AD64" i="3"/>
  <c r="AB64" i="3"/>
  <c r="AA64" i="3"/>
  <c r="X64" i="3"/>
  <c r="V64" i="3"/>
  <c r="U64" i="3"/>
  <c r="AC64" i="3" s="1"/>
  <c r="T64" i="3"/>
  <c r="Z64" i="3" s="1"/>
  <c r="S64" i="3"/>
  <c r="W64" i="3" s="1"/>
  <c r="Y64" i="3" s="1"/>
  <c r="A64" i="3"/>
  <c r="AE63" i="3"/>
  <c r="AD63" i="3"/>
  <c r="AB63" i="3"/>
  <c r="AA63" i="3"/>
  <c r="X63" i="3"/>
  <c r="V63" i="3"/>
  <c r="U63" i="3"/>
  <c r="AC63" i="3" s="1"/>
  <c r="T63" i="3"/>
  <c r="Z63" i="3" s="1"/>
  <c r="S63" i="3"/>
  <c r="W63" i="3" s="1"/>
  <c r="A63" i="3"/>
  <c r="AE62" i="3"/>
  <c r="AD62" i="3"/>
  <c r="AB62" i="3"/>
  <c r="AA62" i="3"/>
  <c r="X62" i="3"/>
  <c r="V62" i="3"/>
  <c r="U62" i="3"/>
  <c r="AC62" i="3" s="1"/>
  <c r="T62" i="3"/>
  <c r="Z62" i="3" s="1"/>
  <c r="S62" i="3"/>
  <c r="W62" i="3" s="1"/>
  <c r="Y62" i="3" s="1"/>
  <c r="A62" i="3"/>
  <c r="AE61" i="3"/>
  <c r="AD61" i="3"/>
  <c r="AB61" i="3"/>
  <c r="AA61" i="3"/>
  <c r="X61" i="3"/>
  <c r="V61" i="3"/>
  <c r="U61" i="3"/>
  <c r="AC61" i="3" s="1"/>
  <c r="T61" i="3"/>
  <c r="Z61" i="3" s="1"/>
  <c r="S61" i="3"/>
  <c r="W61" i="3" s="1"/>
  <c r="Y61" i="3" s="1"/>
  <c r="A61" i="3"/>
  <c r="AE60" i="3"/>
  <c r="AD60" i="3"/>
  <c r="AB60" i="3"/>
  <c r="AA60" i="3"/>
  <c r="Z60" i="3"/>
  <c r="X60" i="3"/>
  <c r="V60" i="3"/>
  <c r="U60" i="3"/>
  <c r="AC60" i="3" s="1"/>
  <c r="T60" i="3"/>
  <c r="S60" i="3"/>
  <c r="W60" i="3" s="1"/>
  <c r="A60" i="3"/>
  <c r="AE59" i="3"/>
  <c r="AD59" i="3"/>
  <c r="AB59" i="3"/>
  <c r="AA59" i="3"/>
  <c r="X59" i="3"/>
  <c r="V59" i="3"/>
  <c r="U59" i="3"/>
  <c r="AC59" i="3" s="1"/>
  <c r="T59" i="3"/>
  <c r="Z59" i="3" s="1"/>
  <c r="S59" i="3"/>
  <c r="W59" i="3" s="1"/>
  <c r="Y59" i="3" s="1"/>
  <c r="A59" i="3"/>
  <c r="AE58" i="3"/>
  <c r="AD58" i="3"/>
  <c r="AB58" i="3"/>
  <c r="AA58" i="3"/>
  <c r="X58" i="3"/>
  <c r="V58" i="3"/>
  <c r="U58" i="3"/>
  <c r="AC58" i="3" s="1"/>
  <c r="T58" i="3"/>
  <c r="Z58" i="3" s="1"/>
  <c r="S58" i="3"/>
  <c r="W58" i="3" s="1"/>
  <c r="Y58" i="3" s="1"/>
  <c r="A58" i="3"/>
  <c r="AE57" i="3"/>
  <c r="AD57" i="3"/>
  <c r="AB57" i="3"/>
  <c r="AA57" i="3"/>
  <c r="X57" i="3"/>
  <c r="V57" i="3"/>
  <c r="U57" i="3"/>
  <c r="AC57" i="3" s="1"/>
  <c r="T57" i="3"/>
  <c r="Z57" i="3" s="1"/>
  <c r="S57" i="3"/>
  <c r="W57" i="3" s="1"/>
  <c r="A57" i="3"/>
  <c r="AE56" i="3"/>
  <c r="AD56" i="3"/>
  <c r="AB56" i="3"/>
  <c r="AA56" i="3"/>
  <c r="X56" i="3"/>
  <c r="V56" i="3"/>
  <c r="U56" i="3"/>
  <c r="AC56" i="3" s="1"/>
  <c r="T56" i="3"/>
  <c r="Z56" i="3" s="1"/>
  <c r="S56" i="3"/>
  <c r="W56" i="3" s="1"/>
  <c r="Y56" i="3" s="1"/>
  <c r="A56" i="3"/>
  <c r="AE55" i="3"/>
  <c r="AD55" i="3"/>
  <c r="AB55" i="3"/>
  <c r="AA55" i="3"/>
  <c r="X55" i="3"/>
  <c r="V55" i="3"/>
  <c r="U55" i="3"/>
  <c r="T55" i="3"/>
  <c r="Z55" i="3" s="1"/>
  <c r="S55" i="3"/>
  <c r="W55" i="3" s="1"/>
  <c r="Y55" i="3" s="1"/>
  <c r="A55" i="3"/>
  <c r="AE54" i="3"/>
  <c r="AD54" i="3"/>
  <c r="AB54" i="3"/>
  <c r="AA54" i="3"/>
  <c r="X54" i="3"/>
  <c r="V54" i="3"/>
  <c r="U54" i="3"/>
  <c r="AC54" i="3" s="1"/>
  <c r="T54" i="3"/>
  <c r="Z54" i="3" s="1"/>
  <c r="S54" i="3"/>
  <c r="W54" i="3" s="1"/>
  <c r="Y54" i="3" s="1"/>
  <c r="A54" i="3"/>
  <c r="AE53" i="3"/>
  <c r="AD53" i="3"/>
  <c r="AB53" i="3"/>
  <c r="AA53" i="3"/>
  <c r="X53" i="3"/>
  <c r="V53" i="3"/>
  <c r="U53" i="3"/>
  <c r="AC53" i="3" s="1"/>
  <c r="T53" i="3"/>
  <c r="Z53" i="3" s="1"/>
  <c r="S53" i="3"/>
  <c r="W53" i="3" s="1"/>
  <c r="Y53" i="3" s="1"/>
  <c r="A53" i="3"/>
  <c r="AE52" i="3"/>
  <c r="AD52" i="3"/>
  <c r="AB52" i="3"/>
  <c r="AA52" i="3"/>
  <c r="Z52" i="3"/>
  <c r="X52" i="3"/>
  <c r="W52" i="3"/>
  <c r="V52" i="3"/>
  <c r="U52" i="3"/>
  <c r="AC52" i="3" s="1"/>
  <c r="T52" i="3"/>
  <c r="S52" i="3"/>
  <c r="A52" i="3"/>
  <c r="AE51" i="3"/>
  <c r="AD51" i="3"/>
  <c r="AB51" i="3"/>
  <c r="AA51" i="3"/>
  <c r="X51" i="3"/>
  <c r="V51" i="3"/>
  <c r="U51" i="3"/>
  <c r="AC51" i="3" s="1"/>
  <c r="T51" i="3"/>
  <c r="Z51" i="3" s="1"/>
  <c r="S51" i="3"/>
  <c r="W51" i="3" s="1"/>
  <c r="A51" i="3"/>
  <c r="AE50" i="3"/>
  <c r="AD50" i="3"/>
  <c r="AB50" i="3"/>
  <c r="AA50" i="3"/>
  <c r="X50" i="3"/>
  <c r="V50" i="3"/>
  <c r="U50" i="3"/>
  <c r="AC50" i="3" s="1"/>
  <c r="T50" i="3"/>
  <c r="Z50" i="3" s="1"/>
  <c r="S50" i="3"/>
  <c r="W50" i="3" s="1"/>
  <c r="Y50" i="3" s="1"/>
  <c r="A50" i="3"/>
  <c r="AE49" i="3"/>
  <c r="AD49" i="3"/>
  <c r="AB49" i="3"/>
  <c r="AA49" i="3"/>
  <c r="X49" i="3"/>
  <c r="V49" i="3"/>
  <c r="U49" i="3"/>
  <c r="AC49" i="3" s="1"/>
  <c r="T49" i="3"/>
  <c r="Z49" i="3" s="1"/>
  <c r="S49" i="3"/>
  <c r="W49" i="3" s="1"/>
  <c r="Y49" i="3" s="1"/>
  <c r="A49" i="3"/>
  <c r="AE48" i="3"/>
  <c r="AD48" i="3"/>
  <c r="AB48" i="3"/>
  <c r="AA48" i="3"/>
  <c r="X48" i="3"/>
  <c r="V48" i="3"/>
  <c r="U48" i="3"/>
  <c r="AC48" i="3" s="1"/>
  <c r="T48" i="3"/>
  <c r="Z48" i="3" s="1"/>
  <c r="S48" i="3"/>
  <c r="W48" i="3" s="1"/>
  <c r="Y48" i="3" s="1"/>
  <c r="A48" i="3"/>
  <c r="AE47" i="3"/>
  <c r="AD47" i="3"/>
  <c r="AB47" i="3"/>
  <c r="AA47" i="3"/>
  <c r="Z47" i="3"/>
  <c r="X47" i="3"/>
  <c r="W47" i="3"/>
  <c r="Y47" i="3" s="1"/>
  <c r="V47" i="3"/>
  <c r="U47" i="3"/>
  <c r="AC47" i="3" s="1"/>
  <c r="T47" i="3"/>
  <c r="S47" i="3"/>
  <c r="A47" i="3"/>
  <c r="AE46" i="3"/>
  <c r="AD46" i="3"/>
  <c r="AB46" i="3"/>
  <c r="AA46" i="3"/>
  <c r="X46" i="3"/>
  <c r="V46" i="3"/>
  <c r="U46" i="3"/>
  <c r="AC46" i="3" s="1"/>
  <c r="T46" i="3"/>
  <c r="Z46" i="3" s="1"/>
  <c r="S46" i="3"/>
  <c r="W46" i="3" s="1"/>
  <c r="A46" i="3"/>
  <c r="AE45" i="3"/>
  <c r="AD45" i="3"/>
  <c r="AB45" i="3"/>
  <c r="AA45" i="3"/>
  <c r="X45" i="3"/>
  <c r="V45" i="3"/>
  <c r="U45" i="3"/>
  <c r="AC45" i="3" s="1"/>
  <c r="T45" i="3"/>
  <c r="Z45" i="3" s="1"/>
  <c r="S45" i="3"/>
  <c r="W45" i="3" s="1"/>
  <c r="Y45" i="3" s="1"/>
  <c r="A45" i="3"/>
  <c r="AE44" i="3"/>
  <c r="AD44" i="3"/>
  <c r="AB44" i="3"/>
  <c r="AA44" i="3"/>
  <c r="X44" i="3"/>
  <c r="V44" i="3"/>
  <c r="U44" i="3"/>
  <c r="AC44" i="3" s="1"/>
  <c r="T44" i="3"/>
  <c r="Z44" i="3" s="1"/>
  <c r="S44" i="3"/>
  <c r="W44" i="3" s="1"/>
  <c r="Y44" i="3" s="1"/>
  <c r="A44" i="3"/>
  <c r="AE43" i="3"/>
  <c r="AD43" i="3"/>
  <c r="AB43" i="3"/>
  <c r="AA43" i="3"/>
  <c r="X43" i="3"/>
  <c r="V43" i="3"/>
  <c r="U43" i="3"/>
  <c r="AC43" i="3" s="1"/>
  <c r="T43" i="3"/>
  <c r="Z43" i="3" s="1"/>
  <c r="S43" i="3"/>
  <c r="W43" i="3" s="1"/>
  <c r="Y43" i="3" s="1"/>
  <c r="A43" i="3"/>
  <c r="AE42" i="3"/>
  <c r="AD42" i="3"/>
  <c r="AB42" i="3"/>
  <c r="AA42" i="3"/>
  <c r="X42" i="3"/>
  <c r="V42" i="3"/>
  <c r="U42" i="3"/>
  <c r="AC42" i="3" s="1"/>
  <c r="T42" i="3"/>
  <c r="Z42" i="3" s="1"/>
  <c r="S42" i="3"/>
  <c r="W42" i="3" s="1"/>
  <c r="A42" i="3"/>
  <c r="AE41" i="3"/>
  <c r="AD41" i="3"/>
  <c r="AB41" i="3"/>
  <c r="AA41" i="3"/>
  <c r="X41" i="3"/>
  <c r="V41" i="3"/>
  <c r="U41" i="3"/>
  <c r="AC41" i="3" s="1"/>
  <c r="T41" i="3"/>
  <c r="Z41" i="3" s="1"/>
  <c r="S41" i="3"/>
  <c r="W41" i="3" s="1"/>
  <c r="Y41" i="3" s="1"/>
  <c r="A41" i="3"/>
  <c r="AE40" i="3"/>
  <c r="AD40" i="3"/>
  <c r="AB40" i="3"/>
  <c r="AA40" i="3"/>
  <c r="X40" i="3"/>
  <c r="V40" i="3"/>
  <c r="U40" i="3"/>
  <c r="AC40" i="3" s="1"/>
  <c r="T40" i="3"/>
  <c r="Z40" i="3" s="1"/>
  <c r="S40" i="3"/>
  <c r="W40" i="3" s="1"/>
  <c r="Y40" i="3" s="1"/>
  <c r="A40" i="3"/>
  <c r="AE39" i="3"/>
  <c r="AD39" i="3"/>
  <c r="AB39" i="3"/>
  <c r="AA39" i="3"/>
  <c r="X39" i="3"/>
  <c r="V39" i="3"/>
  <c r="U39" i="3"/>
  <c r="T39" i="3"/>
  <c r="Z39" i="3" s="1"/>
  <c r="S39" i="3"/>
  <c r="W39" i="3" s="1"/>
  <c r="A39" i="3"/>
  <c r="AE38" i="3"/>
  <c r="AD38" i="3"/>
  <c r="AB38" i="3"/>
  <c r="AA38" i="3"/>
  <c r="X38" i="3"/>
  <c r="V38" i="3"/>
  <c r="U38" i="3"/>
  <c r="AC38" i="3" s="1"/>
  <c r="T38" i="3"/>
  <c r="Z38" i="3" s="1"/>
  <c r="S38" i="3"/>
  <c r="W38" i="3" s="1"/>
  <c r="Y38" i="3" s="1"/>
  <c r="A38" i="3"/>
  <c r="AE37" i="3"/>
  <c r="AD37" i="3"/>
  <c r="AB37" i="3"/>
  <c r="AA37" i="3"/>
  <c r="X37" i="3"/>
  <c r="V37" i="3"/>
  <c r="U37" i="3"/>
  <c r="AC37" i="3" s="1"/>
  <c r="T37" i="3"/>
  <c r="Z37" i="3" s="1"/>
  <c r="S37" i="3"/>
  <c r="W37" i="3" s="1"/>
  <c r="Y37" i="3" s="1"/>
  <c r="A37" i="3"/>
  <c r="AE36" i="3"/>
  <c r="AD36" i="3"/>
  <c r="AB36" i="3"/>
  <c r="AA36" i="3"/>
  <c r="Z36" i="3"/>
  <c r="X36" i="3"/>
  <c r="V36" i="3"/>
  <c r="U36" i="3"/>
  <c r="T36" i="3"/>
  <c r="S36" i="3"/>
  <c r="W36" i="3" s="1"/>
  <c r="Y36" i="3" s="1"/>
  <c r="A36" i="3"/>
  <c r="AE35" i="3"/>
  <c r="AD35" i="3"/>
  <c r="AB35" i="3"/>
  <c r="AA35" i="3"/>
  <c r="X35" i="3"/>
  <c r="V35" i="3"/>
  <c r="U35" i="3"/>
  <c r="AC35" i="3" s="1"/>
  <c r="T35" i="3"/>
  <c r="Z35" i="3" s="1"/>
  <c r="S35" i="3"/>
  <c r="W35" i="3" s="1"/>
  <c r="Y35" i="3" s="1"/>
  <c r="A35" i="3"/>
  <c r="AE34" i="3"/>
  <c r="AD34" i="3"/>
  <c r="AB34" i="3"/>
  <c r="AA34" i="3"/>
  <c r="Z34" i="3"/>
  <c r="X34" i="3"/>
  <c r="W34" i="3"/>
  <c r="Y34" i="3" s="1"/>
  <c r="V34" i="3"/>
  <c r="U34" i="3"/>
  <c r="AC34" i="3" s="1"/>
  <c r="T34" i="3"/>
  <c r="S34" i="3"/>
  <c r="A34" i="3"/>
  <c r="AE33" i="3"/>
  <c r="AD33" i="3"/>
  <c r="AB33" i="3"/>
  <c r="AA33" i="3"/>
  <c r="X33" i="3"/>
  <c r="V33" i="3"/>
  <c r="U33" i="3"/>
  <c r="AC33" i="3" s="1"/>
  <c r="T33" i="3"/>
  <c r="Z33" i="3" s="1"/>
  <c r="S33" i="3"/>
  <c r="W33" i="3" s="1"/>
  <c r="Y33" i="3" s="1"/>
  <c r="A33" i="3"/>
  <c r="AE32" i="3"/>
  <c r="AD32" i="3"/>
  <c r="AB32" i="3"/>
  <c r="AA32" i="3"/>
  <c r="X32" i="3"/>
  <c r="V32" i="3"/>
  <c r="U32" i="3"/>
  <c r="AC32" i="3" s="1"/>
  <c r="T32" i="3"/>
  <c r="Z32" i="3" s="1"/>
  <c r="S32" i="3"/>
  <c r="W32" i="3" s="1"/>
  <c r="Y32" i="3" s="1"/>
  <c r="A32" i="3"/>
  <c r="AE31" i="3"/>
  <c r="AD31" i="3"/>
  <c r="AB31" i="3"/>
  <c r="AA31" i="3"/>
  <c r="X31" i="3"/>
  <c r="V31" i="3"/>
  <c r="U31" i="3"/>
  <c r="AC31" i="3" s="1"/>
  <c r="T31" i="3"/>
  <c r="Z31" i="3" s="1"/>
  <c r="S31" i="3"/>
  <c r="W31" i="3" s="1"/>
  <c r="A31" i="3"/>
  <c r="AE30" i="3"/>
  <c r="AD30" i="3"/>
  <c r="AB30" i="3"/>
  <c r="AA30" i="3"/>
  <c r="X30" i="3"/>
  <c r="V30" i="3"/>
  <c r="U30" i="3"/>
  <c r="AC30" i="3" s="1"/>
  <c r="T30" i="3"/>
  <c r="Z30" i="3" s="1"/>
  <c r="S30" i="3"/>
  <c r="W30" i="3" s="1"/>
  <c r="Y30" i="3" s="1"/>
  <c r="A30" i="3"/>
  <c r="AE29" i="3"/>
  <c r="AD29" i="3"/>
  <c r="AB29" i="3"/>
  <c r="AA29" i="3"/>
  <c r="X29" i="3"/>
  <c r="V29" i="3"/>
  <c r="U29" i="3"/>
  <c r="AC29" i="3" s="1"/>
  <c r="T29" i="3"/>
  <c r="Z29" i="3" s="1"/>
  <c r="S29" i="3"/>
  <c r="W29" i="3" s="1"/>
  <c r="Y29" i="3" s="1"/>
  <c r="A29" i="3"/>
  <c r="AE28" i="3"/>
  <c r="AD28" i="3"/>
  <c r="AB28" i="3"/>
  <c r="AA28" i="3"/>
  <c r="X28" i="3"/>
  <c r="V28" i="3"/>
  <c r="U28" i="3"/>
  <c r="AC28" i="3" s="1"/>
  <c r="T28" i="3"/>
  <c r="Z28" i="3" s="1"/>
  <c r="S28" i="3"/>
  <c r="W28" i="3" s="1"/>
  <c r="A28" i="3"/>
  <c r="AE27" i="3"/>
  <c r="AD27" i="3"/>
  <c r="AB27" i="3"/>
  <c r="AA27" i="3"/>
  <c r="X27" i="3"/>
  <c r="V27" i="3"/>
  <c r="U27" i="3"/>
  <c r="AC27" i="3" s="1"/>
  <c r="T27" i="3"/>
  <c r="Z27" i="3" s="1"/>
  <c r="S27" i="3"/>
  <c r="W27" i="3" s="1"/>
  <c r="Y27" i="3" s="1"/>
  <c r="A27" i="3"/>
  <c r="AE26" i="3"/>
  <c r="AD26" i="3"/>
  <c r="AB26" i="3"/>
  <c r="AA26" i="3"/>
  <c r="X26" i="3"/>
  <c r="V26" i="3"/>
  <c r="U26" i="3"/>
  <c r="AC26" i="3" s="1"/>
  <c r="T26" i="3"/>
  <c r="Z26" i="3" s="1"/>
  <c r="S26" i="3"/>
  <c r="W26" i="3" s="1"/>
  <c r="Y26" i="3" s="1"/>
  <c r="A26" i="3"/>
  <c r="AE25" i="3"/>
  <c r="AD25" i="3"/>
  <c r="AC25" i="3"/>
  <c r="AB25" i="3"/>
  <c r="AA25" i="3"/>
  <c r="X25" i="3"/>
  <c r="V25" i="3"/>
  <c r="U25" i="3"/>
  <c r="T25" i="3"/>
  <c r="Z25" i="3" s="1"/>
  <c r="S25" i="3"/>
  <c r="W25" i="3" s="1"/>
  <c r="Y25" i="3" s="1"/>
  <c r="A25" i="3"/>
  <c r="AE24" i="3"/>
  <c r="AD24" i="3"/>
  <c r="AB24" i="3"/>
  <c r="AA24" i="3"/>
  <c r="X24" i="3"/>
  <c r="V24" i="3"/>
  <c r="U24" i="3"/>
  <c r="T24" i="3"/>
  <c r="Z24" i="3" s="1"/>
  <c r="S24" i="3"/>
  <c r="W24" i="3" s="1"/>
  <c r="Y24" i="3" s="1"/>
  <c r="A24" i="3"/>
  <c r="AE23" i="3"/>
  <c r="AD23" i="3"/>
  <c r="AC23" i="3"/>
  <c r="AB23" i="3"/>
  <c r="AA23" i="3"/>
  <c r="Z23" i="3"/>
  <c r="X23" i="3"/>
  <c r="V23" i="3"/>
  <c r="U23" i="3"/>
  <c r="T23" i="3"/>
  <c r="S23" i="3"/>
  <c r="W23" i="3" s="1"/>
  <c r="A23" i="3"/>
  <c r="AE22" i="3"/>
  <c r="AD22" i="3"/>
  <c r="AB22" i="3"/>
  <c r="AA22" i="3"/>
  <c r="X22" i="3"/>
  <c r="V22" i="3"/>
  <c r="U22" i="3"/>
  <c r="AC22" i="3" s="1"/>
  <c r="T22" i="3"/>
  <c r="Z22" i="3" s="1"/>
  <c r="S22" i="3"/>
  <c r="W22" i="3" s="1"/>
  <c r="A22" i="3"/>
  <c r="AE21" i="3"/>
  <c r="AD21" i="3"/>
  <c r="AB21" i="3"/>
  <c r="AA21" i="3"/>
  <c r="Z21" i="3"/>
  <c r="X21" i="3"/>
  <c r="W21" i="3"/>
  <c r="Y21" i="3" s="1"/>
  <c r="V21" i="3"/>
  <c r="U21" i="3"/>
  <c r="AC21" i="3" s="1"/>
  <c r="T21" i="3"/>
  <c r="S21" i="3"/>
  <c r="A21" i="3"/>
  <c r="AE20" i="3"/>
  <c r="AD20" i="3"/>
  <c r="AB20" i="3"/>
  <c r="AA20" i="3"/>
  <c r="X20" i="3"/>
  <c r="V20" i="3"/>
  <c r="U20" i="3"/>
  <c r="AC20" i="3" s="1"/>
  <c r="T20" i="3"/>
  <c r="Z20" i="3" s="1"/>
  <c r="S20" i="3"/>
  <c r="W20" i="3" s="1"/>
  <c r="Y20" i="3" s="1"/>
  <c r="A20" i="3"/>
  <c r="AE19" i="3"/>
  <c r="AD19" i="3"/>
  <c r="AB19" i="3"/>
  <c r="AA19" i="3"/>
  <c r="X19" i="3"/>
  <c r="W19" i="3"/>
  <c r="Y19" i="3" s="1"/>
  <c r="V19" i="3"/>
  <c r="U19" i="3"/>
  <c r="AC19" i="3" s="1"/>
  <c r="T19" i="3"/>
  <c r="Z19" i="3" s="1"/>
  <c r="S19" i="3"/>
  <c r="A19" i="3"/>
  <c r="AE18" i="3"/>
  <c r="AD18" i="3"/>
  <c r="AB18" i="3"/>
  <c r="AA18" i="3"/>
  <c r="X18" i="3"/>
  <c r="V18" i="3"/>
  <c r="U18" i="3"/>
  <c r="T18" i="3"/>
  <c r="Z18" i="3" s="1"/>
  <c r="S18" i="3"/>
  <c r="W18" i="3" s="1"/>
  <c r="A18" i="3"/>
  <c r="AE17" i="3"/>
  <c r="AD17" i="3"/>
  <c r="AB17" i="3"/>
  <c r="AA17" i="3"/>
  <c r="X17" i="3"/>
  <c r="V17" i="3"/>
  <c r="U17" i="3"/>
  <c r="AC17" i="3" s="1"/>
  <c r="T17" i="3"/>
  <c r="Z17" i="3" s="1"/>
  <c r="S17" i="3"/>
  <c r="W17" i="3" s="1"/>
  <c r="Y17" i="3" s="1"/>
  <c r="A17" i="3"/>
  <c r="AE16" i="3"/>
  <c r="AD16" i="3"/>
  <c r="AB16" i="3"/>
  <c r="AA16" i="3"/>
  <c r="X16" i="3"/>
  <c r="V16" i="3"/>
  <c r="U16" i="3"/>
  <c r="AC16" i="3" s="1"/>
  <c r="T16" i="3"/>
  <c r="Z16" i="3" s="1"/>
  <c r="S16" i="3"/>
  <c r="W16" i="3" s="1"/>
  <c r="Y16" i="3" s="1"/>
  <c r="A16" i="3"/>
  <c r="AE15" i="3"/>
  <c r="AD15" i="3"/>
  <c r="AB15" i="3"/>
  <c r="AA15" i="3"/>
  <c r="X15" i="3"/>
  <c r="V15" i="3"/>
  <c r="U15" i="3"/>
  <c r="AC15" i="3" s="1"/>
  <c r="T15" i="3"/>
  <c r="Z15" i="3" s="1"/>
  <c r="S15" i="3"/>
  <c r="W15" i="3" s="1"/>
  <c r="A15" i="3"/>
  <c r="AE14" i="3"/>
  <c r="AD14" i="3"/>
  <c r="AB14" i="3"/>
  <c r="AA14" i="3"/>
  <c r="X14" i="3"/>
  <c r="V14" i="3"/>
  <c r="U14" i="3"/>
  <c r="AC14" i="3" s="1"/>
  <c r="T14" i="3"/>
  <c r="Z14" i="3" s="1"/>
  <c r="S14" i="3"/>
  <c r="W14" i="3" s="1"/>
  <c r="Y14" i="3" s="1"/>
  <c r="A14" i="3"/>
  <c r="AE13" i="3"/>
  <c r="AD13" i="3"/>
  <c r="AB13" i="3"/>
  <c r="AA13" i="3"/>
  <c r="X13" i="3"/>
  <c r="V13" i="3"/>
  <c r="U13" i="3"/>
  <c r="AC13" i="3" s="1"/>
  <c r="T13" i="3"/>
  <c r="Z13" i="3" s="1"/>
  <c r="S13" i="3"/>
  <c r="W13" i="3" s="1"/>
  <c r="Y13" i="3" s="1"/>
  <c r="A13" i="3"/>
  <c r="AE12" i="3"/>
  <c r="AD12" i="3"/>
  <c r="AB12" i="3"/>
  <c r="AA12" i="3"/>
  <c r="X12" i="3"/>
  <c r="V12" i="3"/>
  <c r="U12" i="3"/>
  <c r="AC12" i="3" s="1"/>
  <c r="T12" i="3"/>
  <c r="Z12" i="3" s="1"/>
  <c r="S12" i="3"/>
  <c r="W12" i="3" s="1"/>
  <c r="Y12" i="3" s="1"/>
  <c r="A12" i="3"/>
  <c r="AE11" i="3"/>
  <c r="AD11" i="3"/>
  <c r="AB11" i="3"/>
  <c r="AA11" i="3"/>
  <c r="X11" i="3"/>
  <c r="V11" i="3"/>
  <c r="U11" i="3"/>
  <c r="AC11" i="3" s="1"/>
  <c r="T11" i="3"/>
  <c r="Z11" i="3" s="1"/>
  <c r="S11" i="3"/>
  <c r="W11" i="3" s="1"/>
  <c r="Y11" i="3" s="1"/>
  <c r="A11" i="3"/>
  <c r="AE10" i="3"/>
  <c r="AD10" i="3"/>
  <c r="AB10" i="3"/>
  <c r="AA10" i="3"/>
  <c r="Z10" i="3"/>
  <c r="X10" i="3"/>
  <c r="V10" i="3"/>
  <c r="U10" i="3"/>
  <c r="AC10" i="3" s="1"/>
  <c r="T10" i="3"/>
  <c r="S10" i="3"/>
  <c r="W10" i="3" s="1"/>
  <c r="A10" i="3"/>
  <c r="AE9" i="3"/>
  <c r="AD9" i="3"/>
  <c r="AB9" i="3"/>
  <c r="AA9" i="3"/>
  <c r="X9" i="3"/>
  <c r="V9" i="3"/>
  <c r="U9" i="3"/>
  <c r="AC9" i="3" s="1"/>
  <c r="T9" i="3"/>
  <c r="Z9" i="3" s="1"/>
  <c r="S9" i="3"/>
  <c r="W9" i="3" s="1"/>
  <c r="Y9" i="3" s="1"/>
  <c r="A9" i="3"/>
  <c r="AE8" i="3"/>
  <c r="AD8" i="3"/>
  <c r="AB8" i="3"/>
  <c r="AA8" i="3"/>
  <c r="X8" i="3"/>
  <c r="V8" i="3"/>
  <c r="U8" i="3"/>
  <c r="AC8" i="3" s="1"/>
  <c r="T8" i="3"/>
  <c r="Z8" i="3" s="1"/>
  <c r="S8" i="3"/>
  <c r="W8" i="3" s="1"/>
  <c r="Y8" i="3" s="1"/>
  <c r="A8" i="3"/>
  <c r="AE7" i="3"/>
  <c r="AD7" i="3"/>
  <c r="AB7" i="3"/>
  <c r="AA7" i="3"/>
  <c r="X7" i="3"/>
  <c r="V7" i="3"/>
  <c r="U7" i="3"/>
  <c r="AC7" i="3" s="1"/>
  <c r="T7" i="3"/>
  <c r="Z7" i="3" s="1"/>
  <c r="S7" i="3"/>
  <c r="W7" i="3" s="1"/>
  <c r="A7" i="3"/>
  <c r="AE6" i="3"/>
  <c r="AD6" i="3"/>
  <c r="AB6" i="3"/>
  <c r="AA6" i="3"/>
  <c r="X6" i="3"/>
  <c r="V6" i="3"/>
  <c r="U6" i="3"/>
  <c r="AC6" i="3" s="1"/>
  <c r="T6" i="3"/>
  <c r="Z6" i="3" s="1"/>
  <c r="S6" i="3"/>
  <c r="W6" i="3" s="1"/>
  <c r="Y6" i="3" s="1"/>
  <c r="A6" i="3"/>
  <c r="AE5" i="3"/>
  <c r="AD5" i="3"/>
  <c r="AB5" i="3"/>
  <c r="AA5" i="3"/>
  <c r="X5" i="3"/>
  <c r="V5" i="3"/>
  <c r="U5" i="3"/>
  <c r="AC5" i="3" s="1"/>
  <c r="T5" i="3"/>
  <c r="Z5" i="3" s="1"/>
  <c r="S5" i="3"/>
  <c r="W5" i="3" s="1"/>
  <c r="A5" i="3"/>
  <c r="AE4" i="3"/>
  <c r="AD4" i="3"/>
  <c r="AB4" i="3"/>
  <c r="AA4" i="3"/>
  <c r="X4" i="3"/>
  <c r="V4" i="3"/>
  <c r="U4" i="3"/>
  <c r="AC4" i="3" s="1"/>
  <c r="T4" i="3"/>
  <c r="Z4" i="3" s="1"/>
  <c r="S4" i="3"/>
  <c r="W4" i="3" s="1"/>
  <c r="Y4" i="3" s="1"/>
  <c r="A4" i="3"/>
  <c r="AE3" i="3"/>
  <c r="AD3" i="3"/>
  <c r="AB3" i="3"/>
  <c r="AA3" i="3"/>
  <c r="X3" i="3"/>
  <c r="V3" i="3"/>
  <c r="U3" i="3"/>
  <c r="AC3" i="3" s="1"/>
  <c r="T3" i="3"/>
  <c r="Z3" i="3" s="1"/>
  <c r="S3" i="3"/>
  <c r="W3" i="3" s="1"/>
  <c r="Y3" i="3" s="1"/>
  <c r="A3" i="3"/>
  <c r="AE2" i="3"/>
  <c r="AD2" i="3"/>
  <c r="AB2" i="3"/>
  <c r="AA2" i="3"/>
  <c r="X2" i="3"/>
  <c r="V2" i="3"/>
  <c r="U2" i="3"/>
  <c r="T2" i="3"/>
  <c r="Z2" i="3" s="1"/>
  <c r="S2" i="3"/>
  <c r="W2" i="3" s="1"/>
  <c r="A2" i="3"/>
  <c r="Y74" i="3" l="1"/>
  <c r="Y90" i="3"/>
  <c r="Y106" i="3"/>
  <c r="J21" i="4"/>
  <c r="Y22" i="3"/>
  <c r="Y46" i="3"/>
  <c r="Y51" i="3"/>
  <c r="I24" i="4"/>
  <c r="K8" i="6"/>
  <c r="Y67" i="3"/>
  <c r="Y7" i="3"/>
  <c r="Y68" i="3"/>
  <c r="Y73" i="3"/>
  <c r="Y81" i="3"/>
  <c r="Y15" i="3"/>
  <c r="Y57" i="3"/>
  <c r="Y89" i="3"/>
  <c r="Y97" i="3"/>
  <c r="R13" i="4"/>
  <c r="Y23" i="3"/>
  <c r="Y28" i="3"/>
  <c r="I4" i="6" s="1"/>
  <c r="L4" i="6" s="1"/>
  <c r="Y18" i="3"/>
  <c r="Y60" i="3"/>
  <c r="I3" i="6"/>
  <c r="L3" i="6" s="1"/>
  <c r="I6" i="6"/>
  <c r="L6" i="6" s="1"/>
  <c r="J22" i="4"/>
  <c r="R8" i="4"/>
  <c r="H22" i="4" s="1"/>
  <c r="Y31" i="3"/>
  <c r="Y84" i="3"/>
  <c r="F6" i="6"/>
  <c r="Y76" i="3"/>
  <c r="F7" i="6"/>
  <c r="I22" i="4"/>
  <c r="Y10" i="3"/>
  <c r="Y100" i="3"/>
  <c r="Y39" i="3"/>
  <c r="Y108" i="3"/>
  <c r="R5" i="4"/>
  <c r="Y2" i="3"/>
  <c r="Y63" i="3"/>
  <c r="Y71" i="3"/>
  <c r="Y92" i="3"/>
  <c r="I8" i="6" s="1"/>
  <c r="L8" i="6" s="1"/>
  <c r="Y5" i="3"/>
  <c r="Y42" i="3"/>
  <c r="Y52" i="3"/>
  <c r="Y103" i="3"/>
  <c r="J5" i="6"/>
  <c r="M5" i="6" s="1"/>
  <c r="J2" i="6"/>
  <c r="M2" i="6" s="1"/>
  <c r="J3" i="6"/>
  <c r="M3" i="6" s="1"/>
  <c r="I5" i="6"/>
  <c r="L5" i="6" s="1"/>
  <c r="H24" i="4"/>
  <c r="J6" i="6"/>
  <c r="M6" i="6" s="1"/>
  <c r="I7" i="6"/>
  <c r="L7" i="6" s="1"/>
  <c r="J7" i="6"/>
  <c r="M7" i="6" s="1"/>
  <c r="I2" i="6"/>
  <c r="L2" i="6" s="1"/>
  <c r="B10" i="2"/>
  <c r="B24" i="2"/>
  <c r="B22" i="2"/>
  <c r="E5" i="6"/>
  <c r="AC67" i="3"/>
  <c r="J4" i="6"/>
  <c r="M4" i="6" s="1"/>
  <c r="AC2" i="3"/>
  <c r="E2" i="6"/>
  <c r="AC90" i="3"/>
  <c r="E8" i="6"/>
  <c r="J8" i="6"/>
  <c r="M8" i="6" s="1"/>
  <c r="E4" i="6"/>
  <c r="AC24" i="3"/>
  <c r="E6" i="6"/>
  <c r="J24" i="4"/>
  <c r="J23" i="4"/>
  <c r="B16" i="2"/>
  <c r="E7" i="6"/>
  <c r="AC18" i="3"/>
  <c r="F3" i="6"/>
  <c r="B14" i="2"/>
  <c r="F5" i="6"/>
  <c r="R11" i="4"/>
  <c r="H23" i="4" s="1"/>
  <c r="F2" i="6"/>
  <c r="AC83" i="3"/>
  <c r="B9" i="2"/>
  <c r="B11" i="2"/>
  <c r="B27" i="2" s="1"/>
  <c r="I23" i="4"/>
  <c r="E3" i="6"/>
  <c r="AC102" i="3"/>
  <c r="F8" i="6"/>
  <c r="F4" i="6"/>
  <c r="AC36" i="3"/>
  <c r="R3" i="4"/>
  <c r="AC39" i="3"/>
  <c r="B13" i="2"/>
  <c r="AC55" i="3"/>
  <c r="H21" i="4" l="1"/>
  <c r="B15" i="2"/>
  <c r="B17" i="2" s="1"/>
  <c r="B19" i="2"/>
  <c r="B18" i="2"/>
  <c r="B20" i="2" s="1"/>
  <c r="B26" i="2"/>
  <c r="B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Balance sheet</author>
  </authors>
  <commentList>
    <comment ref="S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Stats at the unit's level: CSV base + Level Growth x (level - 1). Equipment and books are not included.</t>
        </r>
      </text>
    </comment>
    <comment ref="W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(Faith + Eff. Speech) x FAITH_TRANSFER_RATE, x1.5 for the Missionary. Party preaching an enemy adds this; enemies preaching the party take it away.</t>
        </r>
      </text>
    </comment>
    <comment ref="X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FAITH_BASE_HIT_CHANCE + Love x FAITH_HIT_PER_LOVE, kept within the min/max. Heals on allies always land.</t>
        </r>
      </text>
    </comment>
    <comment ref="Z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Chance a Slash/Shoot/Sling lands on this unit on level ground from an attacker with no class bonus: base - Eff. Resist x scale, -15% for Shieldbearers.</t>
        </r>
      </text>
    </comment>
    <comment ref="AA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Chance this unit shrugs off Fish net, Shove's stun, Arrest, Peacemaker, Disputation.</t>
        </r>
      </text>
    </comment>
    <comment ref="AC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Ticks of the CT clock between this unit's turns (lower = acts more often).</t>
        </r>
      </text>
    </comment>
    <comment ref="AD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Legionnaires only: chance per turn once half their original force has converted or fled.</t>
        </r>
      </text>
    </comment>
    <comment ref="AE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Enemies only: how many Persecutes take their faith to 0 (arrest) from where they start.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Balance sheet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Type any level. The 'gained by level' columns show what a Lv 1 unit of each class has gained by then.</t>
        </r>
      </text>
    </comment>
  </commentList>
</comments>
</file>

<file path=xl/sharedStrings.xml><?xml version="1.0" encoding="utf-8"?>
<sst xmlns="http://schemas.openxmlformats.org/spreadsheetml/2006/main" count="1120" uniqueCount="480">
  <si>
    <t>The Road to Jerusalem - Game Design Balance Sheet</t>
  </si>
  <si>
    <t>What this is</t>
  </si>
  <si>
    <t>Every unit, class, skill and balance constant in the game, with the formulas the game uses written out as live Excel formulas.</t>
  </si>
  <si>
    <t>Change a number on the Constants sheet (or a unit's stats) and every derived column, matchup and stage summary updates.</t>
  </si>
  <si>
    <t>This is a sandbox - the game never reads this file. When you like a change, copy it into scripts/game_logic.py or the CSV it came from.</t>
  </si>
  <si>
    <t>Sheets</t>
  </si>
  <si>
    <t>Constants - every tuning number, what it does and where it lives in the code.</t>
  </si>
  <si>
    <t>Units - every character on every stage: their stats, plus preach strength, hit chances, resist, morale, speed and more.</t>
  </si>
  <si>
    <t>Classes - the sixteen survey classes, with the same derived numbers and role averages.</t>
  </si>
  <si>
    <t>Skills - every skill, what it does (with live numbers) and how many units and classes carry it.</t>
  </si>
  <si>
    <t>Matchup - pick any attacker and target: faith per preach, preaches to convert or break, physical and status odds.</t>
  </si>
  <si>
    <t>Stage Summary - faith pools and faith pressure per round, side against side, for every stage.</t>
  </si>
  <si>
    <t>Level Growth - stats gained per level by class; type a level to preview.</t>
  </si>
  <si>
    <t>Colours</t>
  </si>
  <si>
    <t>Blue text - values copied from the game (inputs). Edit these to try ideas.</t>
  </si>
  <si>
    <t>Black text - formulas. Don't type over them.</t>
  </si>
  <si>
    <t>Yellow cells - the controls on Matchup and Level Growth.</t>
  </si>
  <si>
    <t>Rebuild from the game's current data:  python tools/build_balance_sheet.py   (overwrites this file)</t>
  </si>
  <si>
    <t>Matchup calculator</t>
  </si>
  <si>
    <t>Pick an attacker and a target (yellow cells) - everything below updates.</t>
  </si>
  <si>
    <t>Attacker</t>
  </si>
  <si>
    <t>damascus - Paul</t>
  </si>
  <si>
    <t>Target</t>
  </si>
  <si>
    <t>damascus - Ananias</t>
  </si>
  <si>
    <t>Attacker height above target (tiles)</t>
  </si>
  <si>
    <t>Negative = attacking uphill. Archers ignore the uphill penalty.</t>
  </si>
  <si>
    <t>Attacker team / class</t>
  </si>
  <si>
    <t>Target team / class</t>
  </si>
  <si>
    <t>Target faith</t>
  </si>
  <si>
    <t>Starting faith from the stage's characters.csv.</t>
  </si>
  <si>
    <t>PREACH</t>
  </si>
  <si>
    <t>Preach strength</t>
  </si>
  <si>
    <t>Faith moved by one landed Preach.</t>
  </si>
  <si>
    <t>Direction</t>
  </si>
  <si>
    <t>+1 raises faith (party preaching enemies, or healing); -1 shakes it (enemies preaching the party).</t>
  </si>
  <si>
    <t>Faith change per landed preach</t>
  </si>
  <si>
    <t>Preach hit chance</t>
  </si>
  <si>
    <t>From the attacker's Love.</t>
  </si>
  <si>
    <t>Expected faith change per attempt</t>
  </si>
  <si>
    <t>What a Preach is worth on average.</t>
  </si>
  <si>
    <t>Landed preaches to convert (enemy -&gt; cap)</t>
  </si>
  <si>
    <t>Ignores the 1% faith decay per turn and any Rally.</t>
  </si>
  <si>
    <t>Landed preaches to break (faith -&gt; 0)</t>
  </si>
  <si>
    <t>Party member: Despair. A convert: turns back.</t>
  </si>
  <si>
    <t>Expected attempts needed</t>
  </si>
  <si>
    <t>Landed preaches / hit chance.</t>
  </si>
  <si>
    <t>PHYSICAL (Slash / Shoot / Sling)</t>
  </si>
  <si>
    <t>Physical hit chance</t>
  </si>
  <si>
    <t>Includes height, Soldier/Sergeant bonus, target Resist and Shieldbearer penalty. Not the Officer aura or a guard (a guard blocks outright).</t>
  </si>
  <si>
    <t>STATUS</t>
  </si>
  <si>
    <t>Target status resist</t>
  </si>
  <si>
    <t>From the target's Patience.</t>
  </si>
  <si>
    <t>Fish net / Arrest / Peacemaker land chance</t>
  </si>
  <si>
    <t>Shove land chance</t>
  </si>
  <si>
    <t>Shove's own chance, then the resist roll.</t>
  </si>
  <si>
    <t>Persecutes to arrest</t>
  </si>
  <si>
    <t>Damascus: Persecute never misses.</t>
  </si>
  <si>
    <t>Key (stage - name)</t>
  </si>
  <si>
    <t>Stage</t>
  </si>
  <si>
    <t>Name</t>
  </si>
  <si>
    <t>Team</t>
  </si>
  <si>
    <t>Class</t>
  </si>
  <si>
    <t>Level</t>
  </si>
  <si>
    <t>Mount</t>
  </si>
  <si>
    <t>Skills</t>
  </si>
  <si>
    <t>Speed</t>
  </si>
  <si>
    <t>Move</t>
  </si>
  <si>
    <t>Jump</t>
  </si>
  <si>
    <t>MP</t>
  </si>
  <si>
    <t>Speech (magic_attack)</t>
  </si>
  <si>
    <t>Resist (magic_defense)</t>
  </si>
  <si>
    <t>Faith</t>
  </si>
  <si>
    <t>Bravery</t>
  </si>
  <si>
    <t>Patience</t>
  </si>
  <si>
    <t>Love</t>
  </si>
  <si>
    <t>Eff. Speech at level</t>
  </si>
  <si>
    <t>Eff. Resist at level</t>
  </si>
  <si>
    <t>Eff. Speed at level</t>
  </si>
  <si>
    <t>Eff. Move (incl. mount)</t>
  </si>
  <si>
    <t>Preach strength (faith per hit)</t>
  </si>
  <si>
    <t>Preach hit %</t>
  </si>
  <si>
    <t>Expected faith / preach</t>
  </si>
  <si>
    <t>Physical hit % against them (flat)</t>
  </si>
  <si>
    <t>Status resist %</t>
  </si>
  <si>
    <t>Morale surge % / turn</t>
  </si>
  <si>
    <t>Ticks per turn</t>
  </si>
  <si>
    <t>Flee % / turn at half force lost</t>
  </si>
  <si>
    <t>damascus</t>
  </si>
  <si>
    <t>Paul</t>
  </si>
  <si>
    <t>Player</t>
  </si>
  <si>
    <t>Missionary</t>
  </si>
  <si>
    <t>horse</t>
  </si>
  <si>
    <t>Persecute|Heal|Fish net</t>
  </si>
  <si>
    <t>Temple Guard 1</t>
  </si>
  <si>
    <t>Soldier</t>
  </si>
  <si>
    <t>Persecute|Fish net|Shove</t>
  </si>
  <si>
    <t>Temple Guard 2</t>
  </si>
  <si>
    <t>Persecute|Slash|Shove</t>
  </si>
  <si>
    <t>Temple Guard 3</t>
  </si>
  <si>
    <t>Persecute|Fish net|Defend</t>
  </si>
  <si>
    <t>Temple Guard 4</t>
  </si>
  <si>
    <t>Persecute|Slash|Fish net</t>
  </si>
  <si>
    <t>Ananias</t>
  </si>
  <si>
    <t>Enemy</t>
  </si>
  <si>
    <t>Disciple</t>
  </si>
  <si>
    <t>Preach|Defend</t>
  </si>
  <si>
    <t>Prochorus</t>
  </si>
  <si>
    <t>Nicanor</t>
  </si>
  <si>
    <t>Preach|Shove</t>
  </si>
  <si>
    <t>Timon</t>
  </si>
  <si>
    <t>Parmenas</t>
  </si>
  <si>
    <t>Preach|Fish net</t>
  </si>
  <si>
    <t>Nicolas</t>
  </si>
  <si>
    <t>jerusalem</t>
  </si>
  <si>
    <t>Preach|Heal|Lead</t>
  </si>
  <si>
    <t>Peter</t>
  </si>
  <si>
    <t>Apostle</t>
  </si>
  <si>
    <t>Preach|First Aid|Fish net</t>
  </si>
  <si>
    <t>Barnabas</t>
  </si>
  <si>
    <t>Preach|Defend|Fish net</t>
  </si>
  <si>
    <t>Mark</t>
  </si>
  <si>
    <t>Preach|Slash</t>
  </si>
  <si>
    <t>John</t>
  </si>
  <si>
    <t>Preach|Heal</t>
  </si>
  <si>
    <t>Legionnaire Shieldbearer 1</t>
  </si>
  <si>
    <t>Shieldbearer</t>
  </si>
  <si>
    <t>Preach|Slash|Defend</t>
  </si>
  <si>
    <t>Legionnaire Archer 1</t>
  </si>
  <si>
    <t>Archer</t>
  </si>
  <si>
    <t>Preach|Shoot</t>
  </si>
  <si>
    <t>Legionnaire Medic 1</t>
  </si>
  <si>
    <t>Medic</t>
  </si>
  <si>
    <t>Preach|Rally|Shove</t>
  </si>
  <si>
    <t>Legionnaire Shieldbearer 2</t>
  </si>
  <si>
    <t>Legionnaire Shieldbearer 3</t>
  </si>
  <si>
    <t>Legionnaire Medic 2</t>
  </si>
  <si>
    <t>antioch</t>
  </si>
  <si>
    <t>Philip</t>
  </si>
  <si>
    <t>Preach|First Aid</t>
  </si>
  <si>
    <t>Timothy</t>
  </si>
  <si>
    <t>Luke</t>
  </si>
  <si>
    <t>Titus</t>
  </si>
  <si>
    <t>Silas</t>
  </si>
  <si>
    <t>Priscilla</t>
  </si>
  <si>
    <t>Aquila</t>
  </si>
  <si>
    <t>philippi</t>
  </si>
  <si>
    <t>Preach|Shoot|Shove</t>
  </si>
  <si>
    <t>corinth</t>
  </si>
  <si>
    <t>ephesus</t>
  </si>
  <si>
    <t>Legionnaire Sergeant</t>
  </si>
  <si>
    <t>Sergeant</t>
  </si>
  <si>
    <t>Slash|Shove|Command</t>
  </si>
  <si>
    <t>rome</t>
  </si>
  <si>
    <t>Demas</t>
  </si>
  <si>
    <t>Preach|Fish net|Slash</t>
  </si>
  <si>
    <t>Centurion Marcus</t>
  </si>
  <si>
    <t>Officer</t>
  </si>
  <si>
    <t>Preach|Command|Defend</t>
  </si>
  <si>
    <t>Type</t>
  </si>
  <si>
    <t>Role</t>
  </si>
  <si>
    <t>Signature skill</t>
  </si>
  <si>
    <t>Speech</t>
  </si>
  <si>
    <t>Resist</t>
  </si>
  <si>
    <t>Physical hit % against them</t>
  </si>
  <si>
    <t>INTJ</t>
  </si>
  <si>
    <t>Architect</t>
  </si>
  <si>
    <t>Analyst</t>
  </si>
  <si>
    <t>Grand Design</t>
  </si>
  <si>
    <t>Preach|Defend|Grand Design</t>
  </si>
  <si>
    <t>INTP</t>
  </si>
  <si>
    <t>Logician</t>
  </si>
  <si>
    <t>Reason Together</t>
  </si>
  <si>
    <t>Preach|Fish net|Reason Together</t>
  </si>
  <si>
    <t>ENTJ</t>
  </si>
  <si>
    <t>Commander</t>
  </si>
  <si>
    <t>Marshal</t>
  </si>
  <si>
    <t>Preach|Defend|Marshal</t>
  </si>
  <si>
    <t>ENTP</t>
  </si>
  <si>
    <t>Debater</t>
  </si>
  <si>
    <t>Disputation</t>
  </si>
  <si>
    <t>Preach|Shove|Disputation</t>
  </si>
  <si>
    <t>INFJ</t>
  </si>
  <si>
    <t>Advocate</t>
  </si>
  <si>
    <t>Diplomat</t>
  </si>
  <si>
    <t>Intercession</t>
  </si>
  <si>
    <t>Preach|First Aid|Intercession</t>
  </si>
  <si>
    <t>INFP</t>
  </si>
  <si>
    <t>Mediator</t>
  </si>
  <si>
    <t>Peacemaker</t>
  </si>
  <si>
    <t>Preach|First Aid|Peacemaker</t>
  </si>
  <si>
    <t>ENFJ</t>
  </si>
  <si>
    <t>Protagonist</t>
  </si>
  <si>
    <t>Inspire</t>
  </si>
  <si>
    <t>Preach|Defend|Inspire</t>
  </si>
  <si>
    <t>ENFP</t>
  </si>
  <si>
    <t>Campaigner</t>
  </si>
  <si>
    <t>Good News</t>
  </si>
  <si>
    <t>Preach|Shove|Good News</t>
  </si>
  <si>
    <t>ISTJ</t>
  </si>
  <si>
    <t>Logistician</t>
  </si>
  <si>
    <t>Sentinel</t>
  </si>
  <si>
    <t>Provision</t>
  </si>
  <si>
    <t>Preach|Defend|Provision</t>
  </si>
  <si>
    <t>ISFJ</t>
  </si>
  <si>
    <t>Defender</t>
  </si>
  <si>
    <t>Shield of Faith</t>
  </si>
  <si>
    <t>Preach|First Aid|Shield of Faith</t>
  </si>
  <si>
    <t>ESTJ</t>
  </si>
  <si>
    <t>Executive</t>
  </si>
  <si>
    <t>Arrest</t>
  </si>
  <si>
    <t>Preach|Fish net|Arrest</t>
  </si>
  <si>
    <t>ESFJ</t>
  </si>
  <si>
    <t>Consul</t>
  </si>
  <si>
    <t>Breaking Bread</t>
  </si>
  <si>
    <t>Preach|First Aid|Breaking Bread</t>
  </si>
  <si>
    <t>ISTP</t>
  </si>
  <si>
    <t>Virtuoso</t>
  </si>
  <si>
    <t>Explorer</t>
  </si>
  <si>
    <t>Sling</t>
  </si>
  <si>
    <t>Preach|Slash|Sling</t>
  </si>
  <si>
    <t>ISFP</t>
  </si>
  <si>
    <t>Adventurer</t>
  </si>
  <si>
    <t>Psalm</t>
  </si>
  <si>
    <t>Preach|First Aid|Psalm</t>
  </si>
  <si>
    <t>ESTP</t>
  </si>
  <si>
    <t>Entrepreneur</t>
  </si>
  <si>
    <t>Bold Venture</t>
  </si>
  <si>
    <t>Preach|Slash|Bold Venture</t>
  </si>
  <si>
    <t>ESFP</t>
  </si>
  <si>
    <t>Entertainer</t>
  </si>
  <si>
    <t>Parable</t>
  </si>
  <si>
    <t>Preach|Shove|Parable</t>
  </si>
  <si>
    <t>Role averages</t>
  </si>
  <si>
    <t>Skill</t>
  </si>
  <si>
    <t>MP cost</t>
  </si>
  <si>
    <t>Range</t>
  </si>
  <si>
    <t>What it does (live numbers)</t>
  </si>
  <si>
    <t>Units carrying it</t>
  </si>
  <si>
    <t>Classes carrying it</t>
  </si>
  <si>
    <t>Preach</t>
  </si>
  <si>
    <t>Shoot</t>
  </si>
  <si>
    <t>Physical</t>
  </si>
  <si>
    <t>First Aid</t>
  </si>
  <si>
    <t>Heal</t>
  </si>
  <si>
    <t>Lead</t>
  </si>
  <si>
    <t>Support</t>
  </si>
  <si>
    <t>Defend</t>
  </si>
  <si>
    <t>Slash</t>
  </si>
  <si>
    <t>Command</t>
  </si>
  <si>
    <t>Fish net</t>
  </si>
  <si>
    <t>Status</t>
  </si>
  <si>
    <t>Shove</t>
  </si>
  <si>
    <t>Rally</t>
  </si>
  <si>
    <t>Persecute</t>
  </si>
  <si>
    <t>Title</t>
  </si>
  <si>
    <t>Party units</t>
  </si>
  <si>
    <t>Enemy units</t>
  </si>
  <si>
    <t>Party avg speed</t>
  </si>
  <si>
    <t>Enemy avg speed</t>
  </si>
  <si>
    <t>Party faith pool</t>
  </si>
  <si>
    <t>Enemy faith pool</t>
  </si>
  <si>
    <t>Party faith / round (expected)</t>
  </si>
  <si>
    <t>Enemy faith / round (expected)</t>
  </si>
  <si>
    <t>Faith the party must add to convert every enemy</t>
  </si>
  <si>
    <t>Rounds for the party to convert all</t>
  </si>
  <si>
    <t>Rounds for the enemy to break the whole party</t>
  </si>
  <si>
    <t>The Road to Damascus</t>
  </si>
  <si>
    <t>Paul Among the Apostles</t>
  </si>
  <si>
    <t>The First Gentile Church</t>
  </si>
  <si>
    <t>The Jailer's Household</t>
  </si>
  <si>
    <t>A Fractious Church</t>
  </si>
  <si>
    <t>Riot of the Silversmiths</t>
  </si>
  <si>
    <t>Nero's Persecution</t>
  </si>
  <si>
    <t>How to read this</t>
  </si>
  <si>
    <t>A 'round' assumes every unit acts once and spends its turn preaching - a rough measure of faith pressure, not a prediction.</t>
  </si>
  <si>
    <t>Higher 'Rounds for the party to convert all' = a slower, harder stage for the player; compare it with 'Rounds for the enemy to break the whole party'.</t>
  </si>
  <si>
    <t>Ignores movement, statuses, Rally, Persecute, physical attacks, escapes and the 1% faith decay. Use tools/playtest_sim.py for full simulations.</t>
  </si>
  <si>
    <t>Damascus: Saul's band persecutes instead of preaching, so its 'party faith / round' overstates how fast disciples convert there.</t>
  </si>
  <si>
    <t>Section</t>
  </si>
  <si>
    <t>Constant</t>
  </si>
  <si>
    <t>Value</t>
  </si>
  <si>
    <t>What it does</t>
  </si>
  <si>
    <t>Source in the game</t>
  </si>
  <si>
    <t>FAITH_CAP</t>
  </si>
  <si>
    <t>Faith ceiling. An enemy preached up to it converts.</t>
  </si>
  <si>
    <t>scripts/config.py: FAITH_CAP</t>
  </si>
  <si>
    <t>FAITH_TRANSFER_RATE</t>
  </si>
  <si>
    <t>Preach/Heal strength = (preacher Faith + Speech) x this rate.</t>
  </si>
  <si>
    <t>scripts/game_logic.py: FAITH_TRANSFER_RATE</t>
  </si>
  <si>
    <t>MISSIONARY_PREACH_MULTIPLIER</t>
  </si>
  <si>
    <t>Missionary (Paul) preaches this many times stronger.</t>
  </si>
  <si>
    <t>scripts/game_logic.py: CLASS_PREACH_MULTIPLIER['Missionary']</t>
  </si>
  <si>
    <t>FAITH_BASE_HIT_CHANCE</t>
  </si>
  <si>
    <t>Preach hit chance before Love.</t>
  </si>
  <si>
    <t>scripts/game_logic.py: FAITH_BASE_HIT_CHANCE</t>
  </si>
  <si>
    <t>FAITH_HIT_PER_LOVE</t>
  </si>
  <si>
    <t>Preach hit chance added per point of the preacher's Love.</t>
  </si>
  <si>
    <t>scripts/game_logic.py: FAITH_HIT_PER_LOVE</t>
  </si>
  <si>
    <t>FAITH_MIN_HIT_CHANCE</t>
  </si>
  <si>
    <t>Preach hit chance floor.</t>
  </si>
  <si>
    <t>scripts/game_logic.py: FAITH_MIN_HIT_CHANCE</t>
  </si>
  <si>
    <t>FAITH_MAX_HIT_CHANCE</t>
  </si>
  <si>
    <t>Preach hit chance ceiling.</t>
  </si>
  <si>
    <t>scripts/game_logic.py: FAITH_MAX_HIT_CHANCE</t>
  </si>
  <si>
    <t>FAITH_DECAY_PER_TURN</t>
  </si>
  <si>
    <t>Every unit loses this share of its faith at the start of its own turn.</t>
  </si>
  <si>
    <t>scripts/game_logic.py: begin_turn (hard-coded 0.01)</t>
  </si>
  <si>
    <t>SIDE_SWITCH_FAITH</t>
  </si>
  <si>
    <t>Faith a unit has right after converting or turning back.</t>
  </si>
  <si>
    <t>scripts/game_logic.py: SIDE_SWITCH_FAITH</t>
  </si>
  <si>
    <t>Despair</t>
  </si>
  <si>
    <t>DESPAIR_TURNS</t>
  </si>
  <si>
    <t>Turns a party member at 0 faith sits out.</t>
  </si>
  <si>
    <t>scripts/game_logic.py: DESPAIR_TURNS</t>
  </si>
  <si>
    <t>DESPAIR_RECOVERY_FAITH</t>
  </si>
  <si>
    <t>Faith they recover with when Despair lifts.</t>
  </si>
  <si>
    <t>scripts/game_logic.py: DESPAIR_RECOVERY_FAITH</t>
  </si>
  <si>
    <t>PHYSICAL_BASE_HIT_CHANCE</t>
  </si>
  <si>
    <t>Slash/Shoot/Sling hit chance on level ground before modifiers.</t>
  </si>
  <si>
    <t>scripts/game_logic.py: PHYSICAL_BASE_HIT_CHANCE</t>
  </si>
  <si>
    <t>ELEVATION_HIT_BONUS_PER_TILE</t>
  </si>
  <si>
    <t>Per tile of height the attacker stands above (+) or below (-) the target. Archers ignore the uphill penalty.</t>
  </si>
  <si>
    <t>scripts/game_logic.py: ELEVATION_HIT_BONUS_PER_TILE</t>
  </si>
  <si>
    <t>PHYSICAL_MIN_HIT_CHANCE</t>
  </si>
  <si>
    <t>Physical hit chance floor.</t>
  </si>
  <si>
    <t>scripts/game_logic.py: PHYSICAL_MIN_HIT_CHANCE</t>
  </si>
  <si>
    <t>PHYSICAL_MAX_HIT_CHANCE</t>
  </si>
  <si>
    <t>Physical hit chance ceiling.</t>
  </si>
  <si>
    <t>scripts/game_logic.py: PHYSICAL_MAX_HIT_CHANCE</t>
  </si>
  <si>
    <t>MAGIC_DEFENSE_HIT_SCALE</t>
  </si>
  <si>
    <t>Hit chance removed per point of the target's Resist.</t>
  </si>
  <si>
    <t>scripts/game_logic.py: MAGIC_DEFENSE_HIT_SCALE</t>
  </si>
  <si>
    <t>SOLDIER_HIT_BONUS</t>
  </si>
  <si>
    <t>Soldier and Sergeant attackers hit this much more often.</t>
  </si>
  <si>
    <t>scripts/game_logic.py: CLASS_HIT_BONUS</t>
  </si>
  <si>
    <t>SHIELDBEARER_HIT_PENALTY</t>
  </si>
  <si>
    <t>Physical hits against a Shieldbearer are this much less likely.</t>
  </si>
  <si>
    <t>scripts/game_logic.py: CLASS_HIT_PENALTY_AGAINST</t>
  </si>
  <si>
    <t>OFFICER_AURA_HIT_BONUS</t>
  </si>
  <si>
    <t>Hit bonus for allies near an Officer (Centurion Marcus).</t>
  </si>
  <si>
    <t>scripts/game_logic.py: OFFICER_AURA_HIT_BONUS</t>
  </si>
  <si>
    <t>OFFICER_AURA_RANGE</t>
  </si>
  <si>
    <t>Tiles the Officer's aura reaches.</t>
  </si>
  <si>
    <t>scripts/game_logic.py: OFFICER_AURA_RANGE</t>
  </si>
  <si>
    <t>DISARM_TURNS</t>
  </si>
  <si>
    <t>Turns a Slash or Sling hit stops the target from acting.</t>
  </si>
  <si>
    <t>scripts/game_logic.py: DISARM_TURNS</t>
  </si>
  <si>
    <t>PATIENCE_RESIST_SCALE</t>
  </si>
  <si>
    <t>Chance per point of Patience to shrug off Snare/Stun/Disarm skills.</t>
  </si>
  <si>
    <t>scripts/game_logic.py: PATIENCE_RESIST_SCALE</t>
  </si>
  <si>
    <t>PATIENCE_RESIST_CAP</t>
  </si>
  <si>
    <t>Status resist ceiling.</t>
  </si>
  <si>
    <t>scripts/game_logic.py: PATIENCE_RESIST_CAP</t>
  </si>
  <si>
    <t>SHOVE_CHANCE</t>
  </si>
  <si>
    <t>Shove's base chance to stun and push (before resist).</t>
  </si>
  <si>
    <t>scripts/game_logic.py: SHOVE_CHANCE</t>
  </si>
  <si>
    <t>SHOVE_DISTANCE</t>
  </si>
  <si>
    <t>Tiles a Shove pushes (Sergeants: 3).</t>
  </si>
  <si>
    <t>scripts/game_logic.py: SHOVE_DISTANCE</t>
  </si>
  <si>
    <t>FISH_NET_SNARE_TURNS</t>
  </si>
  <si>
    <t>Turns a Fish net snares its target.</t>
  </si>
  <si>
    <t>scripts/game_logic.py: _resolve_skill_status (hard-coded 2)</t>
  </si>
  <si>
    <t>COMMAND_CT_BOOST</t>
  </si>
  <si>
    <t>CT Command adds to an ally (100 CT = a turn).</t>
  </si>
  <si>
    <t>scripts/game_logic.py: COMMAND_CT_BOOST</t>
  </si>
  <si>
    <t>LEAD_LOVE_BONUS</t>
  </si>
  <si>
    <t>Love Lead gives every ally within range.</t>
  </si>
  <si>
    <t>scripts/game_logic.py: LEAD_LOVE_BONUS</t>
  </si>
  <si>
    <t>LEAD_RADIUS</t>
  </si>
  <si>
    <t>Tiles Lead reaches.</t>
  </si>
  <si>
    <t>scripts/game_logic.py: LEAD_RADIUS</t>
  </si>
  <si>
    <t>LEAD_TURNS</t>
  </si>
  <si>
    <t>Turns Lead's Love lasts.</t>
  </si>
  <si>
    <t>scripts/game_logic.py: LEAD_TURNS</t>
  </si>
  <si>
    <t>RALLY_FAITH_RESTORE</t>
  </si>
  <si>
    <t>Faith Rally moves (enemy: down toward the baseline; party: up).</t>
  </si>
  <si>
    <t>scripts/game_logic.py: RALLY_FAITH_RESTORE</t>
  </si>
  <si>
    <t>RALLY_BASELINE_FAITH</t>
  </si>
  <si>
    <t>Enemy Rally never lowers faith below this.</t>
  </si>
  <si>
    <t>scripts/game_logic.py: RALLY_BASELINE_FAITH</t>
  </si>
  <si>
    <t>Morale</t>
  </si>
  <si>
    <t>MORALE_BASE_CHANCE</t>
  </si>
  <si>
    <t>Chance of a morale surge each turn, before Bravery (once per battle).</t>
  </si>
  <si>
    <t>scripts/game_logic.py: MORALE_BASE_CHANCE</t>
  </si>
  <si>
    <t>MORALE_CHANCE_SCALE</t>
  </si>
  <si>
    <t>Surge chance per point of Bravery.</t>
  </si>
  <si>
    <t>scripts/game_logic.py: MORALE_CHANCE_SCALE</t>
  </si>
  <si>
    <t>MORALE_CHANCE_CAP</t>
  </si>
  <si>
    <t>Surge chance ceiling.</t>
  </si>
  <si>
    <t>scripts/game_logic.py: MORALE_CHANCE_CAP</t>
  </si>
  <si>
    <t>MORALE_FAITH_BONUS</t>
  </si>
  <si>
    <t>Faith a surge adds (for that turn).</t>
  </si>
  <si>
    <t>scripts/game_logic.py: MORALE_FAITH_BONUS</t>
  </si>
  <si>
    <t>MORALE_MV_BONUS</t>
  </si>
  <si>
    <t>Move a surge adds (for that turn).</t>
  </si>
  <si>
    <t>scripts/game_logic.py: MORALE_MV_BONUS</t>
  </si>
  <si>
    <t>MORALE_SPEED_BONUS</t>
  </si>
  <si>
    <t>Speed a surge adds (for that turn).</t>
  </si>
  <si>
    <t>scripts/game_logic.py: MORALE_SPEED_BONUS</t>
  </si>
  <si>
    <t>Fleeing</t>
  </si>
  <si>
    <t>FLEE_MAX_CHANCE</t>
  </si>
  <si>
    <t>Legionnaire flee chance per turn once their whole force is gone, before courage.</t>
  </si>
  <si>
    <t>scripts/game_logic.py: FLEE_MAX_CHANCE</t>
  </si>
  <si>
    <t>FLEE_COURAGE_SCALE</t>
  </si>
  <si>
    <t>Bravery + Patience that makes a legionnaire never flee.</t>
  </si>
  <si>
    <t>scripts/game_logic.py: FLEE_COURAGE_SCALE</t>
  </si>
  <si>
    <t>PERSECUTE_FAITH</t>
  </si>
  <si>
    <t>Fixed faith Persecute takes (Damascus). At 0 the disciple is arrested.</t>
  </si>
  <si>
    <t>scripts/game_logic.py: PERSECUTE_FAITH</t>
  </si>
  <si>
    <t>PERSECUTE_SLOW</t>
  </si>
  <si>
    <t>Move Persecute takes away.</t>
  </si>
  <si>
    <t>scripts/game_logic.py: PERSECUTE_SLOW</t>
  </si>
  <si>
    <t>PERSECUTE_TURNS</t>
  </si>
  <si>
    <t>Turns the slow lasts (refreshed, not stacked).</t>
  </si>
  <si>
    <t>scripts/game_logic.py: PERSECUTE_TURNS</t>
  </si>
  <si>
    <t>Mounts</t>
  </si>
  <si>
    <t>HORSE_MOVE_BONUS</t>
  </si>
  <si>
    <t>Move a horse adds.</t>
  </si>
  <si>
    <t>scripts/game_logic.py: MOUNTS['horse']['mv']</t>
  </si>
  <si>
    <t>Turn order</t>
  </si>
  <si>
    <t>CT_PER_TURN</t>
  </si>
  <si>
    <t>CT needed to act. Each tick a unit gains CT equal to its Speed.</t>
  </si>
  <si>
    <t>scripts/game_logic.py: battle loop (hard-coded 100)</t>
  </si>
  <si>
    <t>EXP</t>
  </si>
  <si>
    <t>EXP_BASE</t>
  </si>
  <si>
    <t>EXP for an action on a same-level target (+/- level gap).</t>
  </si>
  <si>
    <t>scripts/game_logic.py: EXP_BASE</t>
  </si>
  <si>
    <t>EXP_MIN</t>
  </si>
  <si>
    <t>Action EXP floor.</t>
  </si>
  <si>
    <t>scripts/game_logic.py: EXP_MIN</t>
  </si>
  <si>
    <t>EXP_MAX</t>
  </si>
  <si>
    <t>Action EXP ceiling.</t>
  </si>
  <si>
    <t>scripts/game_logic.py: EXP_MAX</t>
  </si>
  <si>
    <t>CONVERT_EXP_BASE</t>
  </si>
  <si>
    <t>EXP for the action that converts an enemy (+2 per level gap).</t>
  </si>
  <si>
    <t>scripts/game_logic.py: CONVERT_EXP_BASE</t>
  </si>
  <si>
    <t>EXP_PER_LEVEL</t>
  </si>
  <si>
    <t>EXP needed per level.</t>
  </si>
  <si>
    <t>scripts/game_logic.py: EXP_PER_LEVEL</t>
  </si>
  <si>
    <t>SPEED_GROWTH_EVERY</t>
  </si>
  <si>
    <t>A unit gains +1 Speed on every Nth level.</t>
  </si>
  <si>
    <t>scripts/game_logic.py: SPEED_GROWTH_EVERY</t>
  </si>
  <si>
    <t>Class skills</t>
  </si>
  <si>
    <t>REASON_TOGETHER_FAITH</t>
  </si>
  <si>
    <t>Signature-skill number (see Skills sheet).</t>
  </si>
  <si>
    <t>scripts/game_logic.py: REASON_TOGETHER_FAITH</t>
  </si>
  <si>
    <t>INTERCESSION_FAITH</t>
  </si>
  <si>
    <t>scripts/game_logic.py: INTERCESSION_FAITH</t>
  </si>
  <si>
    <t>INSPIRE_FAITH</t>
  </si>
  <si>
    <t>scripts/game_logic.py: INSPIRE_FAITH</t>
  </si>
  <si>
    <t>GOOD_NEWS_SHARE</t>
  </si>
  <si>
    <t>scripts/game_logic.py: GOOD_NEWS_SHARE</t>
  </si>
  <si>
    <t>MARSHAL_CT</t>
  </si>
  <si>
    <t>scripts/game_logic.py: MARSHAL_CT</t>
  </si>
  <si>
    <t>PSALM_CT</t>
  </si>
  <si>
    <t>scripts/game_logic.py: PSALM_CT</t>
  </si>
  <si>
    <t>BOLD_VENTURE_CHANCE</t>
  </si>
  <si>
    <t>scripts/game_logic.py: BOLD_VENTURE_CHANCE</t>
  </si>
  <si>
    <t>BOLD_VENTURE_FAITH</t>
  </si>
  <si>
    <t>scripts/game_logic.py: BOLD_VENTURE_FAITH</t>
  </si>
  <si>
    <t>BOLD_VENTURE_BACKFIRE</t>
  </si>
  <si>
    <t>scripts/game_logic.py: BOLD_VENTURE_BACKFIRE</t>
  </si>
  <si>
    <t>PARABLE_FAITH</t>
  </si>
  <si>
    <t>scripts/game_logic.py: PARABLE_FAITH</t>
  </si>
  <si>
    <t>PARABLE_CT</t>
  </si>
  <si>
    <t>scripts/game_logic.py: PARABLE_CT</t>
  </si>
  <si>
    <t>BREAKING_BREAD_FAITH</t>
  </si>
  <si>
    <t>scripts/game_logic.py: BREAKING_BREAD_FAITH</t>
  </si>
  <si>
    <t>ARREST_SNARE_TURNS</t>
  </si>
  <si>
    <t>scripts/game_logic.py: ARREST_SNARE_TURNS</t>
  </si>
  <si>
    <t>Level to preview</t>
  </si>
  <si>
    <t>Max MP / level</t>
  </si>
  <si>
    <t>Speech / level</t>
  </si>
  <si>
    <t>Resist / level</t>
  </si>
  <si>
    <t>MP gained by level</t>
  </si>
  <si>
    <t>Speech gained by level</t>
  </si>
  <si>
    <t>Resist gained by level</t>
  </si>
  <si>
    <t>Speed gained by level</t>
  </si>
  <si>
    <t>(any other class)</t>
  </si>
  <si>
    <t>Source: scripts/game_logic.py LEVEL_GROWTH / DEFAULT_LEVEL_GROWTH. Speed: +1 on every level divisible by SPEED_GROWTH_EVERY.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</si>
</sst>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6"/>
      <name val="Arial"/>
    </font>
    <font>
      <sz val="11"/>
      <name val="Arial"/>
    </font>
    <font>
      <b/>
      <sz val="11"/>
      <name val="Arial"/>
    </font>
    <font>
      <sz val="11"/>
      <color rgb="FF0000FF"/>
      <name val="Arial"/>
    </font>
    <font>
      <i/>
      <sz val="11"/>
      <name val="Arial"/>
    </font>
    <font>
      <b/>
      <sz val="11"/>
      <color rgb="FFFFFFFF"/>
      <name val="Arial"/>
    </font>
    <font>
      <sz val="11"/>
      <color rgb="FF000000"/>
      <name val="Arial"/>
    </font>
    <font>
      <i/>
      <sz val="11"/>
      <color rgb="FF555555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5B3A1E"/>
      </patternFill>
    </fill>
    <fill>
      <patternFill patternType="solid">
        <fgColor rgb="FFEADBC8"/>
      </patternFill>
    </fill>
  </fills>
  <borders count="2">
    <border>
      <left/>
      <right/>
      <top/>
      <bottom/>
      <diagonal/>
    </border>
    <border>
      <left style="thin">
        <color rgb="FFC8B8A0"/>
      </left>
      <right style="thin">
        <color rgb="FFC8B8A0"/>
      </right>
      <top style="thin">
        <color rgb="FFC8B8A0"/>
      </top>
      <bottom style="thin">
        <color rgb="FFC8B8A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5" fillId="0" borderId="0" xfId="0" applyFont="1"/>
    <xf numFmtId="0" fontId="3" fillId="0" borderId="1" xfId="0" applyFont="1" applyBorder="1"/>
    <xf numFmtId="0" fontId="4" fillId="2" borderId="1" xfId="0" applyFont="1" applyFill="1" applyBorder="1"/>
    <xf numFmtId="0" fontId="7" fillId="0" borderId="1" xfId="0" applyFont="1" applyBorder="1"/>
    <xf numFmtId="1" fontId="7" fillId="0" borderId="1" xfId="0" applyNumberFormat="1" applyFont="1" applyBorder="1"/>
    <xf numFmtId="0" fontId="8" fillId="0" borderId="0" xfId="0" applyFont="1"/>
    <xf numFmtId="0" fontId="3" fillId="4" borderId="1" xfId="0" applyFont="1" applyFill="1" applyBorder="1"/>
    <xf numFmtId="0" fontId="0" fillId="4" borderId="0" xfId="0" applyFill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defaultRowHeight="15" x14ac:dyDescent="0.25"/>
  <cols>
    <col min="1" max="1" width="120" customWidth="1"/>
  </cols>
  <sheetData>
    <row r="1" spans="1:1" ht="20.25" x14ac:dyDescent="0.3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x14ac:dyDescent="0.25">
      <c r="A8" s="3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/>
    </row>
    <row r="17" spans="1:1" x14ac:dyDescent="0.25">
      <c r="A17" s="3" t="s">
        <v>13</v>
      </c>
    </row>
    <row r="18" spans="1:1" x14ac:dyDescent="0.25">
      <c r="A18" s="4" t="s">
        <v>14</v>
      </c>
    </row>
    <row r="19" spans="1:1" x14ac:dyDescent="0.25">
      <c r="A19" s="2" t="s">
        <v>15</v>
      </c>
    </row>
    <row r="20" spans="1:1" x14ac:dyDescent="0.25">
      <c r="A20" s="5" t="s">
        <v>16</v>
      </c>
    </row>
    <row r="21" spans="1:1" x14ac:dyDescent="0.25">
      <c r="A21" s="2"/>
    </row>
    <row r="22" spans="1:1" x14ac:dyDescent="0.25">
      <c r="A22" s="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5" x14ac:dyDescent="0.25"/>
  <cols>
    <col min="1" max="1" width="46" customWidth="1"/>
    <col min="2" max="2" width="26" customWidth="1"/>
    <col min="3" max="3" width="70" customWidth="1"/>
  </cols>
  <sheetData>
    <row r="1" spans="1:3" ht="20.25" x14ac:dyDescent="0.3">
      <c r="A1" s="1" t="s">
        <v>18</v>
      </c>
    </row>
    <row r="2" spans="1:3" x14ac:dyDescent="0.25">
      <c r="A2" s="6" t="s">
        <v>19</v>
      </c>
    </row>
    <row r="4" spans="1:3" x14ac:dyDescent="0.25">
      <c r="A4" s="7" t="s">
        <v>20</v>
      </c>
      <c r="B4" s="8" t="s">
        <v>21</v>
      </c>
    </row>
    <row r="5" spans="1:3" x14ac:dyDescent="0.25">
      <c r="A5" s="7" t="s">
        <v>22</v>
      </c>
      <c r="B5" s="8" t="s">
        <v>23</v>
      </c>
    </row>
    <row r="6" spans="1:3" x14ac:dyDescent="0.25">
      <c r="A6" s="7" t="s">
        <v>24</v>
      </c>
      <c r="B6" s="8">
        <v>0</v>
      </c>
      <c r="C6" s="6" t="s">
        <v>25</v>
      </c>
    </row>
    <row r="9" spans="1:3" x14ac:dyDescent="0.25">
      <c r="A9" s="9" t="s">
        <v>26</v>
      </c>
      <c r="B9" s="9" t="str">
        <f>INDEX(Units!$D$2:$D$108,MATCH($B$4,Units!$A$2:$A$108,0))&amp;" / "&amp;INDEX(Units!$E$2:$E$108,MATCH($B$4,Units!$A$2:$A$108,0))</f>
        <v>Player / Missionary</v>
      </c>
    </row>
    <row r="10" spans="1:3" x14ac:dyDescent="0.25">
      <c r="A10" s="9" t="s">
        <v>27</v>
      </c>
      <c r="B10" s="9" t="str">
        <f>INDEX(Units!$D$2:$D$108,MATCH($B$5,Units!$A$2:$A$108,0))&amp;" / "&amp;INDEX(Units!$E$2:$E$108,MATCH($B$5,Units!$A$2:$A$108,0))</f>
        <v>Enemy / Disciple</v>
      </c>
    </row>
    <row r="11" spans="1:3" x14ac:dyDescent="0.25">
      <c r="A11" s="9" t="s">
        <v>28</v>
      </c>
      <c r="B11" s="10">
        <f>INDEX(Units!$O$2:$O$108,MATCH($B$5,Units!$A$2:$A$108,0))</f>
        <v>100</v>
      </c>
      <c r="C11" s="11" t="s">
        <v>29</v>
      </c>
    </row>
    <row r="12" spans="1:3" x14ac:dyDescent="0.25">
      <c r="A12" s="12" t="s">
        <v>30</v>
      </c>
      <c r="B12" s="13"/>
      <c r="C12" s="13"/>
    </row>
    <row r="13" spans="1:3" x14ac:dyDescent="0.25">
      <c r="A13" s="9" t="s">
        <v>31</v>
      </c>
      <c r="B13" s="14">
        <f>INDEX(Units!$W$2:$W$108,MATCH($B$4,Units!$A$2:$A$108,0))</f>
        <v>67.5</v>
      </c>
      <c r="C13" s="11" t="s">
        <v>32</v>
      </c>
    </row>
    <row r="14" spans="1:3" x14ac:dyDescent="0.25">
      <c r="A14" s="9" t="s">
        <v>33</v>
      </c>
      <c r="B14" s="10">
        <f>IF(AND(INDEX(Units!$D$2:$D$108,MATCH($B$4,Units!$A$2:$A$108,0))&lt;&gt;"Player",INDEX(Units!$D$2:$D$108,MATCH($B$5,Units!$A$2:$A$108,0))="Player"),-1,1)</f>
        <v>1</v>
      </c>
      <c r="C14" s="11" t="s">
        <v>34</v>
      </c>
    </row>
    <row r="15" spans="1:3" x14ac:dyDescent="0.25">
      <c r="A15" s="9" t="s">
        <v>35</v>
      </c>
      <c r="B15" s="14">
        <f>B13*B14</f>
        <v>67.5</v>
      </c>
    </row>
    <row r="16" spans="1:3" x14ac:dyDescent="0.25">
      <c r="A16" s="9" t="s">
        <v>36</v>
      </c>
      <c r="B16" s="15">
        <f>INDEX(Units!$X$2:$X$108,MATCH($B$4,Units!$A$2:$A$108,0))</f>
        <v>0.75</v>
      </c>
      <c r="C16" s="11" t="s">
        <v>37</v>
      </c>
    </row>
    <row r="17" spans="1:3" x14ac:dyDescent="0.25">
      <c r="A17" s="9" t="s">
        <v>38</v>
      </c>
      <c r="B17" s="14">
        <f>B15*B16</f>
        <v>50.625</v>
      </c>
      <c r="C17" s="11" t="s">
        <v>39</v>
      </c>
    </row>
    <row r="18" spans="1:3" x14ac:dyDescent="0.25">
      <c r="A18" s="9" t="s">
        <v>40</v>
      </c>
      <c r="B18" s="10">
        <f>IF(B14&gt;0,ROUNDUP((Constants!$C$2-B11)/B13,0),"-")</f>
        <v>2</v>
      </c>
      <c r="C18" s="11" t="s">
        <v>41</v>
      </c>
    </row>
    <row r="19" spans="1:3" x14ac:dyDescent="0.25">
      <c r="A19" s="9" t="s">
        <v>42</v>
      </c>
      <c r="B19" s="10" t="str">
        <f>IF(B14&lt;0,ROUNDUP(B11/B13,0),"-")</f>
        <v>-</v>
      </c>
      <c r="C19" s="11" t="s">
        <v>43</v>
      </c>
    </row>
    <row r="20" spans="1:3" x14ac:dyDescent="0.25">
      <c r="A20" s="9" t="s">
        <v>44</v>
      </c>
      <c r="B20" s="14">
        <f>IF(ISNUMBER(B18),B18/B16,IF(ISNUMBER(B19),B19/B16,"-"))</f>
        <v>2.6666666666666665</v>
      </c>
      <c r="C20" s="11" t="s">
        <v>45</v>
      </c>
    </row>
    <row r="21" spans="1:3" x14ac:dyDescent="0.25">
      <c r="A21" s="12" t="s">
        <v>46</v>
      </c>
      <c r="B21" s="13"/>
      <c r="C21" s="13"/>
    </row>
    <row r="22" spans="1:3" x14ac:dyDescent="0.25">
      <c r="A22" s="9" t="s">
        <v>47</v>
      </c>
      <c r="B22" s="15">
        <f>MIN(Constants!$C$16,MAX(Constants!$C$15,Constants!$C$13+IF(INDEX(Units!$E$2:$E$108,MATCH($B$4,Units!$A$2:$A$108,0))="Archer",MAX(0,$B$6),$B$6)*Constants!$C$14+IF(OR(INDEX(Units!$E$2:$E$108,MATCH($B$4,Units!$A$2:$A$108,0))="Soldier",INDEX(Units!$E$2:$E$108,MATCH($B$4,Units!$A$2:$A$108,0))="Sergeant"),Constants!$C$18,0)-INDEX(Units!$T$2:$T$108,MATCH($B$5,Units!$A$2:$A$108,0))*Constants!$C$17-IF(INDEX(Units!$E$2:$E$108,MATCH($B$5,Units!$A$2:$A$108,0))="Shieldbearer",Constants!$C$19,0)))</f>
        <v>0.80999999999999994</v>
      </c>
      <c r="C22" s="11" t="s">
        <v>48</v>
      </c>
    </row>
    <row r="23" spans="1:3" x14ac:dyDescent="0.25">
      <c r="A23" s="12" t="s">
        <v>49</v>
      </c>
      <c r="B23" s="13"/>
      <c r="C23" s="13"/>
    </row>
    <row r="24" spans="1:3" x14ac:dyDescent="0.25">
      <c r="A24" s="9" t="s">
        <v>50</v>
      </c>
      <c r="B24" s="15">
        <f>INDEX(Units!$AA$2:$AA$108,MATCH($B$5,Units!$A$2:$A$108,0))</f>
        <v>0.13600000000000001</v>
      </c>
      <c r="C24" s="11" t="s">
        <v>51</v>
      </c>
    </row>
    <row r="25" spans="1:3" x14ac:dyDescent="0.25">
      <c r="A25" s="9" t="s">
        <v>52</v>
      </c>
      <c r="B25" s="15">
        <f>1-B24</f>
        <v>0.86399999999999999</v>
      </c>
    </row>
    <row r="26" spans="1:3" x14ac:dyDescent="0.25">
      <c r="A26" s="9" t="s">
        <v>53</v>
      </c>
      <c r="B26" s="15">
        <f>Constants!$C$25*(1-B24)</f>
        <v>0.432</v>
      </c>
      <c r="C26" s="11" t="s">
        <v>54</v>
      </c>
    </row>
    <row r="27" spans="1:3" x14ac:dyDescent="0.25">
      <c r="A27" s="9" t="s">
        <v>55</v>
      </c>
      <c r="B27" s="10">
        <f>IF(INDEX(Units!$D$2:$D$108,MATCH($B$5,Units!$A$2:$A$108,0))="Enemy",ROUNDUP(B11/Constants!$C$42,0),"-")</f>
        <v>10</v>
      </c>
      <c r="C27" s="11" t="s">
        <v>56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Units!$A$2:$A$108</xm:f>
          </x14:formula1>
          <xm:sqref>B4 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" width="11" customWidth="1"/>
    <col min="3" max="3" width="24" customWidth="1"/>
    <col min="4" max="4" width="8" customWidth="1"/>
    <col min="5" max="5" width="13" customWidth="1"/>
    <col min="6" max="7" width="7" customWidth="1"/>
    <col min="8" max="8" width="30" customWidth="1"/>
    <col min="9" max="18" width="8" customWidth="1"/>
    <col min="19" max="21" width="10" customWidth="1"/>
    <col min="22" max="22" width="11" customWidth="1"/>
    <col min="23" max="23" width="13" customWidth="1"/>
    <col min="24" max="24" width="10" customWidth="1"/>
    <col min="25" max="26" width="13" customWidth="1"/>
    <col min="27" max="28" width="11" customWidth="1"/>
    <col min="29" max="29" width="9" customWidth="1"/>
    <col min="30" max="30" width="13" customWidth="1"/>
    <col min="31" max="31" width="11" customWidth="1"/>
  </cols>
  <sheetData>
    <row r="1" spans="1:31" ht="62.1" customHeight="1" x14ac:dyDescent="0.25">
      <c r="A1" s="16" t="s">
        <v>57</v>
      </c>
      <c r="B1" s="16" t="s">
        <v>58</v>
      </c>
      <c r="C1" s="16" t="s">
        <v>59</v>
      </c>
      <c r="D1" s="16" t="s">
        <v>60</v>
      </c>
      <c r="E1" s="16" t="s">
        <v>61</v>
      </c>
      <c r="F1" s="16" t="s">
        <v>62</v>
      </c>
      <c r="G1" s="16" t="s">
        <v>63</v>
      </c>
      <c r="H1" s="16" t="s">
        <v>64</v>
      </c>
      <c r="I1" s="16" t="s">
        <v>65</v>
      </c>
      <c r="J1" s="16" t="s">
        <v>66</v>
      </c>
      <c r="K1" s="16" t="s">
        <v>67</v>
      </c>
      <c r="L1" s="16" t="s">
        <v>68</v>
      </c>
      <c r="M1" s="16" t="s">
        <v>69</v>
      </c>
      <c r="N1" s="16" t="s">
        <v>70</v>
      </c>
      <c r="O1" s="16" t="s">
        <v>71</v>
      </c>
      <c r="P1" s="16" t="s">
        <v>72</v>
      </c>
      <c r="Q1" s="16" t="s">
        <v>73</v>
      </c>
      <c r="R1" s="16" t="s">
        <v>74</v>
      </c>
      <c r="S1" s="16" t="s">
        <v>75</v>
      </c>
      <c r="T1" s="16" t="s">
        <v>76</v>
      </c>
      <c r="U1" s="16" t="s">
        <v>77</v>
      </c>
      <c r="V1" s="16" t="s">
        <v>78</v>
      </c>
      <c r="W1" s="16" t="s">
        <v>79</v>
      </c>
      <c r="X1" s="16" t="s">
        <v>80</v>
      </c>
      <c r="Y1" s="16" t="s">
        <v>81</v>
      </c>
      <c r="Z1" s="16" t="s">
        <v>82</v>
      </c>
      <c r="AA1" s="16" t="s">
        <v>83</v>
      </c>
      <c r="AB1" s="16" t="s">
        <v>84</v>
      </c>
      <c r="AC1" s="16" t="s">
        <v>85</v>
      </c>
      <c r="AD1" s="16" t="s">
        <v>86</v>
      </c>
      <c r="AE1" s="16" t="s">
        <v>55</v>
      </c>
    </row>
    <row r="2" spans="1:31" x14ac:dyDescent="0.25">
      <c r="A2" s="9" t="str">
        <f t="shared" ref="A2:A33" si="0">B2&amp;" - "&amp;C2</f>
        <v>damascus - Paul</v>
      </c>
      <c r="B2" s="17" t="s">
        <v>87</v>
      </c>
      <c r="C2" s="17" t="s">
        <v>88</v>
      </c>
      <c r="D2" s="17" t="s">
        <v>89</v>
      </c>
      <c r="E2" s="17" t="s">
        <v>90</v>
      </c>
      <c r="F2" s="17">
        <v>1</v>
      </c>
      <c r="G2" s="17" t="s">
        <v>91</v>
      </c>
      <c r="H2" s="17" t="s">
        <v>92</v>
      </c>
      <c r="I2" s="17">
        <v>15</v>
      </c>
      <c r="J2" s="17">
        <v>4</v>
      </c>
      <c r="K2" s="17">
        <v>2</v>
      </c>
      <c r="L2" s="17">
        <v>100</v>
      </c>
      <c r="M2" s="17">
        <v>25</v>
      </c>
      <c r="N2" s="17">
        <v>6</v>
      </c>
      <c r="O2" s="17">
        <v>200</v>
      </c>
      <c r="P2" s="17">
        <v>24</v>
      </c>
      <c r="Q2" s="17">
        <v>3</v>
      </c>
      <c r="R2" s="17">
        <v>20</v>
      </c>
      <c r="S2" s="9">
        <f>M2+IFERROR(INDEX('Level Growth'!$C$4:$C$12,MATCH(E2,'Level Growth'!$A$4:$A$12,0)),'Level Growth'!$C$12)*(F2-1)</f>
        <v>25</v>
      </c>
      <c r="T2" s="9">
        <f>N2+IFERROR(INDEX('Level Growth'!$D$4:$D$12,MATCH(E2,'Level Growth'!$A$4:$A$12,0)),'Level Growth'!$D$12)*(F2-1)</f>
        <v>6</v>
      </c>
      <c r="U2" s="9">
        <f>I2+INT(F2/Constants!$C$52)</f>
        <v>15</v>
      </c>
      <c r="V2" s="9">
        <f>J2+IF(G2="horse",Constants!$C$45,0)</f>
        <v>7</v>
      </c>
      <c r="W2" s="14">
        <f>(O2+S2)*Constants!$C$3*IF(E2="Missionary",Constants!$C$4,1)</f>
        <v>67.5</v>
      </c>
      <c r="X2" s="15">
        <f>MIN(Constants!$C$8,MAX(Constants!$C$7,Constants!$C$5+R2*Constants!$C$6))</f>
        <v>0.75</v>
      </c>
      <c r="Y2" s="14">
        <f t="shared" ref="Y2:Y33" si="1">W2*X2</f>
        <v>50.625</v>
      </c>
      <c r="Z2" s="15">
        <f>MIN(Constants!$C$16,MAX(Constants!$C$15,Constants!$C$13-T2*Constants!$C$17-IF(E2="Shieldbearer",Constants!$C$19,0)))</f>
        <v>0.83799999999999997</v>
      </c>
      <c r="AA2" s="15">
        <f>MIN(Constants!$C$24,Q2*Constants!$C$23)</f>
        <v>1.2E-2</v>
      </c>
      <c r="AB2" s="15">
        <f>MIN(Constants!$C$36,Constants!$C$34+P2*Constants!$C$35)</f>
        <v>0.14600000000000002</v>
      </c>
      <c r="AC2" s="14">
        <f>Constants!$C$46/U2</f>
        <v>6.666666666666667</v>
      </c>
      <c r="AD2" s="15" t="str">
        <f>IF(LEFT(C2,11)="Legionnaire",Constants!$C$40*0.5*MAX(0,1-(P2+Q2)/Constants!$C$41),"-")</f>
        <v>-</v>
      </c>
      <c r="AE2" s="9" t="str">
        <f>IF(D2="Enemy",ROUNDUP(O2/Constants!$C$42,0),"-")</f>
        <v>-</v>
      </c>
    </row>
    <row r="3" spans="1:31" x14ac:dyDescent="0.25">
      <c r="A3" s="9" t="str">
        <f t="shared" si="0"/>
        <v>damascus - Temple Guard 1</v>
      </c>
      <c r="B3" s="17" t="s">
        <v>87</v>
      </c>
      <c r="C3" s="17" t="s">
        <v>93</v>
      </c>
      <c r="D3" s="17" t="s">
        <v>89</v>
      </c>
      <c r="E3" s="17" t="s">
        <v>94</v>
      </c>
      <c r="F3" s="17">
        <v>1</v>
      </c>
      <c r="G3" s="17" t="s">
        <v>91</v>
      </c>
      <c r="H3" s="17" t="s">
        <v>95</v>
      </c>
      <c r="I3" s="17">
        <v>11</v>
      </c>
      <c r="J3" s="17">
        <v>3</v>
      </c>
      <c r="K3" s="17">
        <v>1</v>
      </c>
      <c r="L3" s="17">
        <v>0</v>
      </c>
      <c r="M3" s="17">
        <v>16</v>
      </c>
      <c r="N3" s="17">
        <v>22</v>
      </c>
      <c r="O3" s="17">
        <v>145</v>
      </c>
      <c r="P3" s="17">
        <v>26</v>
      </c>
      <c r="Q3" s="17">
        <v>18</v>
      </c>
      <c r="R3" s="17">
        <v>22</v>
      </c>
      <c r="S3" s="9">
        <f>M3+IFERROR(INDEX('Level Growth'!$C$4:$C$12,MATCH(E3,'Level Growth'!$A$4:$A$12,0)),'Level Growth'!$C$12)*(F3-1)</f>
        <v>16</v>
      </c>
      <c r="T3" s="9">
        <f>N3+IFERROR(INDEX('Level Growth'!$D$4:$D$12,MATCH(E3,'Level Growth'!$A$4:$A$12,0)),'Level Growth'!$D$12)*(F3-1)</f>
        <v>22</v>
      </c>
      <c r="U3" s="9">
        <f>I3+INT(F3/Constants!$C$52)</f>
        <v>11</v>
      </c>
      <c r="V3" s="9">
        <f>J3+IF(G3="horse",Constants!$C$45,0)</f>
        <v>6</v>
      </c>
      <c r="W3" s="14">
        <f>(O3+S3)*Constants!$C$3*IF(E3="Missionary",Constants!$C$4,1)</f>
        <v>32.200000000000003</v>
      </c>
      <c r="X3" s="15">
        <f>MIN(Constants!$C$8,MAX(Constants!$C$7,Constants!$C$5+R3*Constants!$C$6))</f>
        <v>0.77</v>
      </c>
      <c r="Y3" s="14">
        <f t="shared" si="1"/>
        <v>24.794000000000004</v>
      </c>
      <c r="Z3" s="15">
        <f>MIN(Constants!$C$16,MAX(Constants!$C$15,Constants!$C$13-T3*Constants!$C$17-IF(E3="Shieldbearer",Constants!$C$19,0)))</f>
        <v>0.80599999999999994</v>
      </c>
      <c r="AA3" s="15">
        <f>MIN(Constants!$C$24,Q3*Constants!$C$23)</f>
        <v>7.2000000000000008E-2</v>
      </c>
      <c r="AB3" s="15">
        <f>MIN(Constants!$C$36,Constants!$C$34+P3*Constants!$C$35)</f>
        <v>0.15400000000000003</v>
      </c>
      <c r="AC3" s="14">
        <f>Constants!$C$46/U3</f>
        <v>9.0909090909090917</v>
      </c>
      <c r="AD3" s="15" t="str">
        <f>IF(LEFT(C3,11)="Legionnaire",Constants!$C$40*0.5*MAX(0,1-(P3+Q3)/Constants!$C$41),"-")</f>
        <v>-</v>
      </c>
      <c r="AE3" s="9" t="str">
        <f>IF(D3="Enemy",ROUNDUP(O3/Constants!$C$42,0),"-")</f>
        <v>-</v>
      </c>
    </row>
    <row r="4" spans="1:31" x14ac:dyDescent="0.25">
      <c r="A4" s="9" t="str">
        <f t="shared" si="0"/>
        <v>damascus - Temple Guard 2</v>
      </c>
      <c r="B4" s="17" t="s">
        <v>87</v>
      </c>
      <c r="C4" s="17" t="s">
        <v>96</v>
      </c>
      <c r="D4" s="17" t="s">
        <v>89</v>
      </c>
      <c r="E4" s="17" t="s">
        <v>94</v>
      </c>
      <c r="F4" s="17">
        <v>1</v>
      </c>
      <c r="G4" s="17" t="s">
        <v>91</v>
      </c>
      <c r="H4" s="17" t="s">
        <v>97</v>
      </c>
      <c r="I4" s="17">
        <v>11</v>
      </c>
      <c r="J4" s="17">
        <v>3</v>
      </c>
      <c r="K4" s="17">
        <v>1</v>
      </c>
      <c r="L4" s="17">
        <v>0</v>
      </c>
      <c r="M4" s="17">
        <v>18</v>
      </c>
      <c r="N4" s="17">
        <v>20</v>
      </c>
      <c r="O4" s="17">
        <v>140</v>
      </c>
      <c r="P4" s="17">
        <v>30</v>
      </c>
      <c r="Q4" s="17">
        <v>15</v>
      </c>
      <c r="R4" s="17">
        <v>20</v>
      </c>
      <c r="S4" s="9">
        <f>M4+IFERROR(INDEX('Level Growth'!$C$4:$C$12,MATCH(E4,'Level Growth'!$A$4:$A$12,0)),'Level Growth'!$C$12)*(F4-1)</f>
        <v>18</v>
      </c>
      <c r="T4" s="9">
        <f>N4+IFERROR(INDEX('Level Growth'!$D$4:$D$12,MATCH(E4,'Level Growth'!$A$4:$A$12,0)),'Level Growth'!$D$12)*(F4-1)</f>
        <v>20</v>
      </c>
      <c r="U4" s="9">
        <f>I4+INT(F4/Constants!$C$52)</f>
        <v>11</v>
      </c>
      <c r="V4" s="9">
        <f>J4+IF(G4="horse",Constants!$C$45,0)</f>
        <v>6</v>
      </c>
      <c r="W4" s="14">
        <f>(O4+S4)*Constants!$C$3*IF(E4="Missionary",Constants!$C$4,1)</f>
        <v>31.6</v>
      </c>
      <c r="X4" s="15">
        <f>MIN(Constants!$C$8,MAX(Constants!$C$7,Constants!$C$5+R4*Constants!$C$6))</f>
        <v>0.75</v>
      </c>
      <c r="Y4" s="14">
        <f t="shared" si="1"/>
        <v>23.700000000000003</v>
      </c>
      <c r="Z4" s="15">
        <f>MIN(Constants!$C$16,MAX(Constants!$C$15,Constants!$C$13-T4*Constants!$C$17-IF(E4="Shieldbearer",Constants!$C$19,0)))</f>
        <v>0.80999999999999994</v>
      </c>
      <c r="AA4" s="15">
        <f>MIN(Constants!$C$24,Q4*Constants!$C$23)</f>
        <v>0.06</v>
      </c>
      <c r="AB4" s="15">
        <f>MIN(Constants!$C$36,Constants!$C$34+P4*Constants!$C$35)</f>
        <v>0.16999999999999998</v>
      </c>
      <c r="AC4" s="14">
        <f>Constants!$C$46/U4</f>
        <v>9.0909090909090917</v>
      </c>
      <c r="AD4" s="15" t="str">
        <f>IF(LEFT(C4,11)="Legionnaire",Constants!$C$40*0.5*MAX(0,1-(P4+Q4)/Constants!$C$41),"-")</f>
        <v>-</v>
      </c>
      <c r="AE4" s="9" t="str">
        <f>IF(D4="Enemy",ROUNDUP(O4/Constants!$C$42,0),"-")</f>
        <v>-</v>
      </c>
    </row>
    <row r="5" spans="1:31" x14ac:dyDescent="0.25">
      <c r="A5" s="9" t="str">
        <f t="shared" si="0"/>
        <v>damascus - Temple Guard 3</v>
      </c>
      <c r="B5" s="17" t="s">
        <v>87</v>
      </c>
      <c r="C5" s="17" t="s">
        <v>98</v>
      </c>
      <c r="D5" s="17" t="s">
        <v>89</v>
      </c>
      <c r="E5" s="17" t="s">
        <v>94</v>
      </c>
      <c r="F5" s="17">
        <v>1</v>
      </c>
      <c r="G5" s="17" t="s">
        <v>91</v>
      </c>
      <c r="H5" s="17" t="s">
        <v>99</v>
      </c>
      <c r="I5" s="17">
        <v>11</v>
      </c>
      <c r="J5" s="17">
        <v>3</v>
      </c>
      <c r="K5" s="17">
        <v>1</v>
      </c>
      <c r="L5" s="17">
        <v>0</v>
      </c>
      <c r="M5" s="17">
        <v>15</v>
      </c>
      <c r="N5" s="17">
        <v>24</v>
      </c>
      <c r="O5" s="17">
        <v>150</v>
      </c>
      <c r="P5" s="17">
        <v>22</v>
      </c>
      <c r="Q5" s="17">
        <v>22</v>
      </c>
      <c r="R5" s="17">
        <v>24</v>
      </c>
      <c r="S5" s="9">
        <f>M5+IFERROR(INDEX('Level Growth'!$C$4:$C$12,MATCH(E5,'Level Growth'!$A$4:$A$12,0)),'Level Growth'!$C$12)*(F5-1)</f>
        <v>15</v>
      </c>
      <c r="T5" s="9">
        <f>N5+IFERROR(INDEX('Level Growth'!$D$4:$D$12,MATCH(E5,'Level Growth'!$A$4:$A$12,0)),'Level Growth'!$D$12)*(F5-1)</f>
        <v>24</v>
      </c>
      <c r="U5" s="9">
        <f>I5+INT(F5/Constants!$C$52)</f>
        <v>11</v>
      </c>
      <c r="V5" s="9">
        <f>J5+IF(G5="horse",Constants!$C$45,0)</f>
        <v>6</v>
      </c>
      <c r="W5" s="14">
        <f>(O5+S5)*Constants!$C$3*IF(E5="Missionary",Constants!$C$4,1)</f>
        <v>33</v>
      </c>
      <c r="X5" s="15">
        <f>MIN(Constants!$C$8,MAX(Constants!$C$7,Constants!$C$5+R5*Constants!$C$6))</f>
        <v>0.79</v>
      </c>
      <c r="Y5" s="14">
        <f t="shared" si="1"/>
        <v>26.07</v>
      </c>
      <c r="Z5" s="15">
        <f>MIN(Constants!$C$16,MAX(Constants!$C$15,Constants!$C$13-T5*Constants!$C$17-IF(E5="Shieldbearer",Constants!$C$19,0)))</f>
        <v>0.80199999999999994</v>
      </c>
      <c r="AA5" s="15">
        <f>MIN(Constants!$C$24,Q5*Constants!$C$23)</f>
        <v>8.7999999999999995E-2</v>
      </c>
      <c r="AB5" s="15">
        <f>MIN(Constants!$C$36,Constants!$C$34+P5*Constants!$C$35)</f>
        <v>0.13800000000000001</v>
      </c>
      <c r="AC5" s="14">
        <f>Constants!$C$46/U5</f>
        <v>9.0909090909090917</v>
      </c>
      <c r="AD5" s="15" t="str">
        <f>IF(LEFT(C5,11)="Legionnaire",Constants!$C$40*0.5*MAX(0,1-(P5+Q5)/Constants!$C$41),"-")</f>
        <v>-</v>
      </c>
      <c r="AE5" s="9" t="str">
        <f>IF(D5="Enemy",ROUNDUP(O5/Constants!$C$42,0),"-")</f>
        <v>-</v>
      </c>
    </row>
    <row r="6" spans="1:31" x14ac:dyDescent="0.25">
      <c r="A6" s="9" t="str">
        <f t="shared" si="0"/>
        <v>damascus - Temple Guard 4</v>
      </c>
      <c r="B6" s="17" t="s">
        <v>87</v>
      </c>
      <c r="C6" s="17" t="s">
        <v>100</v>
      </c>
      <c r="D6" s="17" t="s">
        <v>89</v>
      </c>
      <c r="E6" s="17" t="s">
        <v>94</v>
      </c>
      <c r="F6" s="17">
        <v>1</v>
      </c>
      <c r="G6" s="17" t="s">
        <v>91</v>
      </c>
      <c r="H6" s="17" t="s">
        <v>101</v>
      </c>
      <c r="I6" s="17">
        <v>11</v>
      </c>
      <c r="J6" s="17">
        <v>3</v>
      </c>
      <c r="K6" s="17">
        <v>1</v>
      </c>
      <c r="L6" s="17">
        <v>0</v>
      </c>
      <c r="M6" s="17">
        <v>17</v>
      </c>
      <c r="N6" s="17">
        <v>21</v>
      </c>
      <c r="O6" s="17">
        <v>142</v>
      </c>
      <c r="P6" s="17">
        <v>28</v>
      </c>
      <c r="Q6" s="17">
        <v>16</v>
      </c>
      <c r="R6" s="17">
        <v>21</v>
      </c>
      <c r="S6" s="9">
        <f>M6+IFERROR(INDEX('Level Growth'!$C$4:$C$12,MATCH(E6,'Level Growth'!$A$4:$A$12,0)),'Level Growth'!$C$12)*(F6-1)</f>
        <v>17</v>
      </c>
      <c r="T6" s="9">
        <f>N6+IFERROR(INDEX('Level Growth'!$D$4:$D$12,MATCH(E6,'Level Growth'!$A$4:$A$12,0)),'Level Growth'!$D$12)*(F6-1)</f>
        <v>21</v>
      </c>
      <c r="U6" s="9">
        <f>I6+INT(F6/Constants!$C$52)</f>
        <v>11</v>
      </c>
      <c r="V6" s="9">
        <f>J6+IF(G6="horse",Constants!$C$45,0)</f>
        <v>6</v>
      </c>
      <c r="W6" s="14">
        <f>(O6+S6)*Constants!$C$3*IF(E6="Missionary",Constants!$C$4,1)</f>
        <v>31.8</v>
      </c>
      <c r="X6" s="15">
        <f>MIN(Constants!$C$8,MAX(Constants!$C$7,Constants!$C$5+R6*Constants!$C$6))</f>
        <v>0.76</v>
      </c>
      <c r="Y6" s="14">
        <f t="shared" si="1"/>
        <v>24.167999999999999</v>
      </c>
      <c r="Z6" s="15">
        <f>MIN(Constants!$C$16,MAX(Constants!$C$15,Constants!$C$13-T6*Constants!$C$17-IF(E6="Shieldbearer",Constants!$C$19,0)))</f>
        <v>0.80799999999999994</v>
      </c>
      <c r="AA6" s="15">
        <f>MIN(Constants!$C$24,Q6*Constants!$C$23)</f>
        <v>6.4000000000000001E-2</v>
      </c>
      <c r="AB6" s="15">
        <f>MIN(Constants!$C$36,Constants!$C$34+P6*Constants!$C$35)</f>
        <v>0.16200000000000001</v>
      </c>
      <c r="AC6" s="14">
        <f>Constants!$C$46/U6</f>
        <v>9.0909090909090917</v>
      </c>
      <c r="AD6" s="15" t="str">
        <f>IF(LEFT(C6,11)="Legionnaire",Constants!$C$40*0.5*MAX(0,1-(P6+Q6)/Constants!$C$41),"-")</f>
        <v>-</v>
      </c>
      <c r="AE6" s="9" t="str">
        <f>IF(D6="Enemy",ROUNDUP(O6/Constants!$C$42,0),"-")</f>
        <v>-</v>
      </c>
    </row>
    <row r="7" spans="1:31" x14ac:dyDescent="0.25">
      <c r="A7" s="9" t="str">
        <f t="shared" si="0"/>
        <v>damascus - Ananias</v>
      </c>
      <c r="B7" s="17" t="s">
        <v>87</v>
      </c>
      <c r="C7" s="17" t="s">
        <v>102</v>
      </c>
      <c r="D7" s="17" t="s">
        <v>103</v>
      </c>
      <c r="E7" s="17" t="s">
        <v>104</v>
      </c>
      <c r="F7" s="17">
        <v>1</v>
      </c>
      <c r="G7" s="17"/>
      <c r="H7" s="17" t="s">
        <v>105</v>
      </c>
      <c r="I7" s="17">
        <v>11</v>
      </c>
      <c r="J7" s="17">
        <v>3</v>
      </c>
      <c r="K7" s="17">
        <v>1</v>
      </c>
      <c r="L7" s="17">
        <v>20</v>
      </c>
      <c r="M7" s="17">
        <v>18</v>
      </c>
      <c r="N7" s="17">
        <v>20</v>
      </c>
      <c r="O7" s="17">
        <v>100</v>
      </c>
      <c r="P7" s="17">
        <v>38</v>
      </c>
      <c r="Q7" s="17">
        <v>34</v>
      </c>
      <c r="R7" s="17">
        <v>30</v>
      </c>
      <c r="S7" s="9">
        <f>M7+IFERROR(INDEX('Level Growth'!$C$4:$C$12,MATCH(E7,'Level Growth'!$A$4:$A$12,0)),'Level Growth'!$C$12)*(F7-1)</f>
        <v>18</v>
      </c>
      <c r="T7" s="9">
        <f>N7+IFERROR(INDEX('Level Growth'!$D$4:$D$12,MATCH(E7,'Level Growth'!$A$4:$A$12,0)),'Level Growth'!$D$12)*(F7-1)</f>
        <v>20</v>
      </c>
      <c r="U7" s="9">
        <f>I7+INT(F7/Constants!$C$52)</f>
        <v>11</v>
      </c>
      <c r="V7" s="9">
        <f>J7+IF(G7="horse",Constants!$C$45,0)</f>
        <v>3</v>
      </c>
      <c r="W7" s="14">
        <f>(O7+S7)*Constants!$C$3*IF(E7="Missionary",Constants!$C$4,1)</f>
        <v>23.6</v>
      </c>
      <c r="X7" s="15">
        <f>MIN(Constants!$C$8,MAX(Constants!$C$7,Constants!$C$5+R7*Constants!$C$6))</f>
        <v>0.85000000000000009</v>
      </c>
      <c r="Y7" s="14">
        <f t="shared" si="1"/>
        <v>20.060000000000002</v>
      </c>
      <c r="Z7" s="15">
        <f>MIN(Constants!$C$16,MAX(Constants!$C$15,Constants!$C$13-T7*Constants!$C$17-IF(E7="Shieldbearer",Constants!$C$19,0)))</f>
        <v>0.80999999999999994</v>
      </c>
      <c r="AA7" s="15">
        <f>MIN(Constants!$C$24,Q7*Constants!$C$23)</f>
        <v>0.13600000000000001</v>
      </c>
      <c r="AB7" s="15">
        <f>MIN(Constants!$C$36,Constants!$C$34+P7*Constants!$C$35)</f>
        <v>0.20200000000000001</v>
      </c>
      <c r="AC7" s="14">
        <f>Constants!$C$46/U7</f>
        <v>9.0909090909090917</v>
      </c>
      <c r="AD7" s="15" t="str">
        <f>IF(LEFT(C7,11)="Legionnaire",Constants!$C$40*0.5*MAX(0,1-(P7+Q7)/Constants!$C$41),"-")</f>
        <v>-</v>
      </c>
      <c r="AE7" s="9">
        <f>IF(D7="Enemy",ROUNDUP(O7/Constants!$C$42,0),"-")</f>
        <v>10</v>
      </c>
    </row>
    <row r="8" spans="1:31" x14ac:dyDescent="0.25">
      <c r="A8" s="9" t="str">
        <f t="shared" si="0"/>
        <v>damascus - Prochorus</v>
      </c>
      <c r="B8" s="17" t="s">
        <v>87</v>
      </c>
      <c r="C8" s="17" t="s">
        <v>106</v>
      </c>
      <c r="D8" s="17" t="s">
        <v>103</v>
      </c>
      <c r="E8" s="17" t="s">
        <v>104</v>
      </c>
      <c r="F8" s="17">
        <v>1</v>
      </c>
      <c r="G8" s="17"/>
      <c r="H8" s="17" t="s">
        <v>105</v>
      </c>
      <c r="I8" s="17">
        <v>10</v>
      </c>
      <c r="J8" s="17">
        <v>3</v>
      </c>
      <c r="K8" s="17">
        <v>1</v>
      </c>
      <c r="L8" s="17">
        <v>0</v>
      </c>
      <c r="M8" s="17">
        <v>14</v>
      </c>
      <c r="N8" s="17">
        <v>24</v>
      </c>
      <c r="O8" s="17">
        <v>100</v>
      </c>
      <c r="P8" s="17">
        <v>34</v>
      </c>
      <c r="Q8" s="17">
        <v>30</v>
      </c>
      <c r="R8" s="17">
        <v>24</v>
      </c>
      <c r="S8" s="9">
        <f>M8+IFERROR(INDEX('Level Growth'!$C$4:$C$12,MATCH(E8,'Level Growth'!$A$4:$A$12,0)),'Level Growth'!$C$12)*(F8-1)</f>
        <v>14</v>
      </c>
      <c r="T8" s="9">
        <f>N8+IFERROR(INDEX('Level Growth'!$D$4:$D$12,MATCH(E8,'Level Growth'!$A$4:$A$12,0)),'Level Growth'!$D$12)*(F8-1)</f>
        <v>24</v>
      </c>
      <c r="U8" s="9">
        <f>I8+INT(F8/Constants!$C$52)</f>
        <v>10</v>
      </c>
      <c r="V8" s="9">
        <f>J8+IF(G8="horse",Constants!$C$45,0)</f>
        <v>3</v>
      </c>
      <c r="W8" s="14">
        <f>(O8+S8)*Constants!$C$3*IF(E8="Missionary",Constants!$C$4,1)</f>
        <v>22.8</v>
      </c>
      <c r="X8" s="15">
        <f>MIN(Constants!$C$8,MAX(Constants!$C$7,Constants!$C$5+R8*Constants!$C$6))</f>
        <v>0.79</v>
      </c>
      <c r="Y8" s="14">
        <f t="shared" si="1"/>
        <v>18.012</v>
      </c>
      <c r="Z8" s="15">
        <f>MIN(Constants!$C$16,MAX(Constants!$C$15,Constants!$C$13-T8*Constants!$C$17-IF(E8="Shieldbearer",Constants!$C$19,0)))</f>
        <v>0.80199999999999994</v>
      </c>
      <c r="AA8" s="15">
        <f>MIN(Constants!$C$24,Q8*Constants!$C$23)</f>
        <v>0.12</v>
      </c>
      <c r="AB8" s="15">
        <f>MIN(Constants!$C$36,Constants!$C$34+P8*Constants!$C$35)</f>
        <v>0.186</v>
      </c>
      <c r="AC8" s="14">
        <f>Constants!$C$46/U8</f>
        <v>10</v>
      </c>
      <c r="AD8" s="15" t="str">
        <f>IF(LEFT(C8,11)="Legionnaire",Constants!$C$40*0.5*MAX(0,1-(P8+Q8)/Constants!$C$41),"-")</f>
        <v>-</v>
      </c>
      <c r="AE8" s="9">
        <f>IF(D8="Enemy",ROUNDUP(O8/Constants!$C$42,0),"-")</f>
        <v>10</v>
      </c>
    </row>
    <row r="9" spans="1:31" x14ac:dyDescent="0.25">
      <c r="A9" s="9" t="str">
        <f t="shared" si="0"/>
        <v>damascus - Nicanor</v>
      </c>
      <c r="B9" s="17" t="s">
        <v>87</v>
      </c>
      <c r="C9" s="17" t="s">
        <v>107</v>
      </c>
      <c r="D9" s="17" t="s">
        <v>103</v>
      </c>
      <c r="E9" s="17" t="s">
        <v>104</v>
      </c>
      <c r="F9" s="17">
        <v>1</v>
      </c>
      <c r="G9" s="17"/>
      <c r="H9" s="17" t="s">
        <v>108</v>
      </c>
      <c r="I9" s="17">
        <v>12</v>
      </c>
      <c r="J9" s="17">
        <v>3</v>
      </c>
      <c r="K9" s="17">
        <v>1</v>
      </c>
      <c r="L9" s="17">
        <v>0</v>
      </c>
      <c r="M9" s="17">
        <v>13</v>
      </c>
      <c r="N9" s="17">
        <v>18</v>
      </c>
      <c r="O9" s="17">
        <v>100</v>
      </c>
      <c r="P9" s="17">
        <v>32</v>
      </c>
      <c r="Q9" s="17">
        <v>24</v>
      </c>
      <c r="R9" s="17">
        <v>18</v>
      </c>
      <c r="S9" s="9">
        <f>M9+IFERROR(INDEX('Level Growth'!$C$4:$C$12,MATCH(E9,'Level Growth'!$A$4:$A$12,0)),'Level Growth'!$C$12)*(F9-1)</f>
        <v>13</v>
      </c>
      <c r="T9" s="9">
        <f>N9+IFERROR(INDEX('Level Growth'!$D$4:$D$12,MATCH(E9,'Level Growth'!$A$4:$A$12,0)),'Level Growth'!$D$12)*(F9-1)</f>
        <v>18</v>
      </c>
      <c r="U9" s="9">
        <f>I9+INT(F9/Constants!$C$52)</f>
        <v>12</v>
      </c>
      <c r="V9" s="9">
        <f>J9+IF(G9="horse",Constants!$C$45,0)</f>
        <v>3</v>
      </c>
      <c r="W9" s="14">
        <f>(O9+S9)*Constants!$C$3*IF(E9="Missionary",Constants!$C$4,1)</f>
        <v>22.6</v>
      </c>
      <c r="X9" s="15">
        <f>MIN(Constants!$C$8,MAX(Constants!$C$7,Constants!$C$5+R9*Constants!$C$6))</f>
        <v>0.73</v>
      </c>
      <c r="Y9" s="14">
        <f t="shared" si="1"/>
        <v>16.498000000000001</v>
      </c>
      <c r="Z9" s="15">
        <f>MIN(Constants!$C$16,MAX(Constants!$C$15,Constants!$C$13-T9*Constants!$C$17-IF(E9="Shieldbearer",Constants!$C$19,0)))</f>
        <v>0.81399999999999995</v>
      </c>
      <c r="AA9" s="15">
        <f>MIN(Constants!$C$24,Q9*Constants!$C$23)</f>
        <v>9.6000000000000002E-2</v>
      </c>
      <c r="AB9" s="15">
        <f>MIN(Constants!$C$36,Constants!$C$34+P9*Constants!$C$35)</f>
        <v>0.17799999999999999</v>
      </c>
      <c r="AC9" s="14">
        <f>Constants!$C$46/U9</f>
        <v>8.3333333333333339</v>
      </c>
      <c r="AD9" s="15" t="str">
        <f>IF(LEFT(C9,11)="Legionnaire",Constants!$C$40*0.5*MAX(0,1-(P9+Q9)/Constants!$C$41),"-")</f>
        <v>-</v>
      </c>
      <c r="AE9" s="9">
        <f>IF(D9="Enemy",ROUNDUP(O9/Constants!$C$42,0),"-")</f>
        <v>10</v>
      </c>
    </row>
    <row r="10" spans="1:31" x14ac:dyDescent="0.25">
      <c r="A10" s="9" t="str">
        <f t="shared" si="0"/>
        <v>damascus - Timon</v>
      </c>
      <c r="B10" s="17" t="s">
        <v>87</v>
      </c>
      <c r="C10" s="17" t="s">
        <v>109</v>
      </c>
      <c r="D10" s="17" t="s">
        <v>103</v>
      </c>
      <c r="E10" s="17" t="s">
        <v>104</v>
      </c>
      <c r="F10" s="17">
        <v>1</v>
      </c>
      <c r="G10" s="17"/>
      <c r="H10" s="17" t="s">
        <v>108</v>
      </c>
      <c r="I10" s="17">
        <v>10</v>
      </c>
      <c r="J10" s="17">
        <v>3</v>
      </c>
      <c r="K10" s="17">
        <v>1</v>
      </c>
      <c r="L10" s="17">
        <v>20</v>
      </c>
      <c r="M10" s="17">
        <v>16</v>
      </c>
      <c r="N10" s="17">
        <v>20</v>
      </c>
      <c r="O10" s="17">
        <v>100</v>
      </c>
      <c r="P10" s="17">
        <v>30</v>
      </c>
      <c r="Q10" s="17">
        <v>36</v>
      </c>
      <c r="R10" s="17">
        <v>28</v>
      </c>
      <c r="S10" s="9">
        <f>M10+IFERROR(INDEX('Level Growth'!$C$4:$C$12,MATCH(E10,'Level Growth'!$A$4:$A$12,0)),'Level Growth'!$C$12)*(F10-1)</f>
        <v>16</v>
      </c>
      <c r="T10" s="9">
        <f>N10+IFERROR(INDEX('Level Growth'!$D$4:$D$12,MATCH(E10,'Level Growth'!$A$4:$A$12,0)),'Level Growth'!$D$12)*(F10-1)</f>
        <v>20</v>
      </c>
      <c r="U10" s="9">
        <f>I10+INT(F10/Constants!$C$52)</f>
        <v>10</v>
      </c>
      <c r="V10" s="9">
        <f>J10+IF(G10="horse",Constants!$C$45,0)</f>
        <v>3</v>
      </c>
      <c r="W10" s="14">
        <f>(O10+S10)*Constants!$C$3*IF(E10="Missionary",Constants!$C$4,1)</f>
        <v>23.200000000000003</v>
      </c>
      <c r="X10" s="15">
        <f>MIN(Constants!$C$8,MAX(Constants!$C$7,Constants!$C$5+R10*Constants!$C$6))</f>
        <v>0.83000000000000007</v>
      </c>
      <c r="Y10" s="14">
        <f t="shared" si="1"/>
        <v>19.256000000000004</v>
      </c>
      <c r="Z10" s="15">
        <f>MIN(Constants!$C$16,MAX(Constants!$C$15,Constants!$C$13-T10*Constants!$C$17-IF(E10="Shieldbearer",Constants!$C$19,0)))</f>
        <v>0.80999999999999994</v>
      </c>
      <c r="AA10" s="15">
        <f>MIN(Constants!$C$24,Q10*Constants!$C$23)</f>
        <v>0.14400000000000002</v>
      </c>
      <c r="AB10" s="15">
        <f>MIN(Constants!$C$36,Constants!$C$34+P10*Constants!$C$35)</f>
        <v>0.16999999999999998</v>
      </c>
      <c r="AC10" s="14">
        <f>Constants!$C$46/U10</f>
        <v>10</v>
      </c>
      <c r="AD10" s="15" t="str">
        <f>IF(LEFT(C10,11)="Legionnaire",Constants!$C$40*0.5*MAX(0,1-(P10+Q10)/Constants!$C$41),"-")</f>
        <v>-</v>
      </c>
      <c r="AE10" s="9">
        <f>IF(D10="Enemy",ROUNDUP(O10/Constants!$C$42,0),"-")</f>
        <v>10</v>
      </c>
    </row>
    <row r="11" spans="1:31" x14ac:dyDescent="0.25">
      <c r="A11" s="9" t="str">
        <f t="shared" si="0"/>
        <v>damascus - Parmenas</v>
      </c>
      <c r="B11" s="17" t="s">
        <v>87</v>
      </c>
      <c r="C11" s="17" t="s">
        <v>110</v>
      </c>
      <c r="D11" s="17" t="s">
        <v>103</v>
      </c>
      <c r="E11" s="17" t="s">
        <v>104</v>
      </c>
      <c r="F11" s="17">
        <v>1</v>
      </c>
      <c r="G11" s="17"/>
      <c r="H11" s="17" t="s">
        <v>111</v>
      </c>
      <c r="I11" s="17">
        <v>11</v>
      </c>
      <c r="J11" s="17">
        <v>3</v>
      </c>
      <c r="K11" s="17">
        <v>1</v>
      </c>
      <c r="L11" s="17">
        <v>0</v>
      </c>
      <c r="M11" s="17">
        <v>12</v>
      </c>
      <c r="N11" s="17">
        <v>22</v>
      </c>
      <c r="O11" s="17">
        <v>100</v>
      </c>
      <c r="P11" s="17">
        <v>33</v>
      </c>
      <c r="Q11" s="17">
        <v>28</v>
      </c>
      <c r="R11" s="17">
        <v>22</v>
      </c>
      <c r="S11" s="9">
        <f>M11+IFERROR(INDEX('Level Growth'!$C$4:$C$12,MATCH(E11,'Level Growth'!$A$4:$A$12,0)),'Level Growth'!$C$12)*(F11-1)</f>
        <v>12</v>
      </c>
      <c r="T11" s="9">
        <f>N11+IFERROR(INDEX('Level Growth'!$D$4:$D$12,MATCH(E11,'Level Growth'!$A$4:$A$12,0)),'Level Growth'!$D$12)*(F11-1)</f>
        <v>22</v>
      </c>
      <c r="U11" s="9">
        <f>I11+INT(F11/Constants!$C$52)</f>
        <v>11</v>
      </c>
      <c r="V11" s="9">
        <f>J11+IF(G11="horse",Constants!$C$45,0)</f>
        <v>3</v>
      </c>
      <c r="W11" s="14">
        <f>(O11+S11)*Constants!$C$3*IF(E11="Missionary",Constants!$C$4,1)</f>
        <v>22.400000000000002</v>
      </c>
      <c r="X11" s="15">
        <f>MIN(Constants!$C$8,MAX(Constants!$C$7,Constants!$C$5+R11*Constants!$C$6))</f>
        <v>0.77</v>
      </c>
      <c r="Y11" s="14">
        <f t="shared" si="1"/>
        <v>17.248000000000001</v>
      </c>
      <c r="Z11" s="15">
        <f>MIN(Constants!$C$16,MAX(Constants!$C$15,Constants!$C$13-T11*Constants!$C$17-IF(E11="Shieldbearer",Constants!$C$19,0)))</f>
        <v>0.80599999999999994</v>
      </c>
      <c r="AA11" s="15">
        <f>MIN(Constants!$C$24,Q11*Constants!$C$23)</f>
        <v>0.112</v>
      </c>
      <c r="AB11" s="15">
        <f>MIN(Constants!$C$36,Constants!$C$34+P11*Constants!$C$35)</f>
        <v>0.182</v>
      </c>
      <c r="AC11" s="14">
        <f>Constants!$C$46/U11</f>
        <v>9.0909090909090917</v>
      </c>
      <c r="AD11" s="15" t="str">
        <f>IF(LEFT(C11,11)="Legionnaire",Constants!$C$40*0.5*MAX(0,1-(P11+Q11)/Constants!$C$41),"-")</f>
        <v>-</v>
      </c>
      <c r="AE11" s="9">
        <f>IF(D11="Enemy",ROUNDUP(O11/Constants!$C$42,0),"-")</f>
        <v>10</v>
      </c>
    </row>
    <row r="12" spans="1:31" x14ac:dyDescent="0.25">
      <c r="A12" s="9" t="str">
        <f t="shared" si="0"/>
        <v>damascus - Nicolas</v>
      </c>
      <c r="B12" s="17" t="s">
        <v>87</v>
      </c>
      <c r="C12" s="17" t="s">
        <v>112</v>
      </c>
      <c r="D12" s="17" t="s">
        <v>103</v>
      </c>
      <c r="E12" s="17" t="s">
        <v>104</v>
      </c>
      <c r="F12" s="17">
        <v>1</v>
      </c>
      <c r="G12" s="17"/>
      <c r="H12" s="17" t="s">
        <v>105</v>
      </c>
      <c r="I12" s="17">
        <v>11</v>
      </c>
      <c r="J12" s="17">
        <v>3</v>
      </c>
      <c r="K12" s="17">
        <v>1</v>
      </c>
      <c r="L12" s="17">
        <v>0</v>
      </c>
      <c r="M12" s="17">
        <v>15</v>
      </c>
      <c r="N12" s="17">
        <v>23</v>
      </c>
      <c r="O12" s="17">
        <v>100</v>
      </c>
      <c r="P12" s="17">
        <v>36</v>
      </c>
      <c r="Q12" s="17">
        <v>32</v>
      </c>
      <c r="R12" s="17">
        <v>26</v>
      </c>
      <c r="S12" s="9">
        <f>M12+IFERROR(INDEX('Level Growth'!$C$4:$C$12,MATCH(E12,'Level Growth'!$A$4:$A$12,0)),'Level Growth'!$C$12)*(F12-1)</f>
        <v>15</v>
      </c>
      <c r="T12" s="9">
        <f>N12+IFERROR(INDEX('Level Growth'!$D$4:$D$12,MATCH(E12,'Level Growth'!$A$4:$A$12,0)),'Level Growth'!$D$12)*(F12-1)</f>
        <v>23</v>
      </c>
      <c r="U12" s="9">
        <f>I12+INT(F12/Constants!$C$52)</f>
        <v>11</v>
      </c>
      <c r="V12" s="9">
        <f>J12+IF(G12="horse",Constants!$C$45,0)</f>
        <v>3</v>
      </c>
      <c r="W12" s="14">
        <f>(O12+S12)*Constants!$C$3*IF(E12="Missionary",Constants!$C$4,1)</f>
        <v>23</v>
      </c>
      <c r="X12" s="15">
        <f>MIN(Constants!$C$8,MAX(Constants!$C$7,Constants!$C$5+R12*Constants!$C$6))</f>
        <v>0.81</v>
      </c>
      <c r="Y12" s="14">
        <f t="shared" si="1"/>
        <v>18.630000000000003</v>
      </c>
      <c r="Z12" s="15">
        <f>MIN(Constants!$C$16,MAX(Constants!$C$15,Constants!$C$13-T12*Constants!$C$17-IF(E12="Shieldbearer",Constants!$C$19,0)))</f>
        <v>0.80399999999999994</v>
      </c>
      <c r="AA12" s="15">
        <f>MIN(Constants!$C$24,Q12*Constants!$C$23)</f>
        <v>0.128</v>
      </c>
      <c r="AB12" s="15">
        <f>MIN(Constants!$C$36,Constants!$C$34+P12*Constants!$C$35)</f>
        <v>0.19400000000000001</v>
      </c>
      <c r="AC12" s="14">
        <f>Constants!$C$46/U12</f>
        <v>9.0909090909090917</v>
      </c>
      <c r="AD12" s="15" t="str">
        <f>IF(LEFT(C12,11)="Legionnaire",Constants!$C$40*0.5*MAX(0,1-(P12+Q12)/Constants!$C$41),"-")</f>
        <v>-</v>
      </c>
      <c r="AE12" s="9">
        <f>IF(D12="Enemy",ROUNDUP(O12/Constants!$C$42,0),"-")</f>
        <v>10</v>
      </c>
    </row>
    <row r="13" spans="1:31" x14ac:dyDescent="0.25">
      <c r="A13" s="9" t="str">
        <f t="shared" si="0"/>
        <v>jerusalem - Paul</v>
      </c>
      <c r="B13" s="17" t="s">
        <v>113</v>
      </c>
      <c r="C13" s="17" t="s">
        <v>88</v>
      </c>
      <c r="D13" s="17" t="s">
        <v>89</v>
      </c>
      <c r="E13" s="17" t="s">
        <v>90</v>
      </c>
      <c r="F13" s="17">
        <v>1</v>
      </c>
      <c r="G13" s="17"/>
      <c r="H13" s="17" t="s">
        <v>114</v>
      </c>
      <c r="I13" s="17">
        <v>15</v>
      </c>
      <c r="J13" s="17">
        <v>4</v>
      </c>
      <c r="K13" s="17">
        <v>2</v>
      </c>
      <c r="L13" s="17">
        <v>100</v>
      </c>
      <c r="M13" s="17">
        <v>25</v>
      </c>
      <c r="N13" s="17">
        <v>6</v>
      </c>
      <c r="O13" s="17">
        <v>129</v>
      </c>
      <c r="P13" s="17">
        <v>24</v>
      </c>
      <c r="Q13" s="17">
        <v>3</v>
      </c>
      <c r="R13" s="17">
        <v>20</v>
      </c>
      <c r="S13" s="9">
        <f>M13+IFERROR(INDEX('Level Growth'!$C$4:$C$12,MATCH(E13,'Level Growth'!$A$4:$A$12,0)),'Level Growth'!$C$12)*(F13-1)</f>
        <v>25</v>
      </c>
      <c r="T13" s="9">
        <f>N13+IFERROR(INDEX('Level Growth'!$D$4:$D$12,MATCH(E13,'Level Growth'!$A$4:$A$12,0)),'Level Growth'!$D$12)*(F13-1)</f>
        <v>6</v>
      </c>
      <c r="U13" s="9">
        <f>I13+INT(F13/Constants!$C$52)</f>
        <v>15</v>
      </c>
      <c r="V13" s="9">
        <f>J13+IF(G13="horse",Constants!$C$45,0)</f>
        <v>4</v>
      </c>
      <c r="W13" s="14">
        <f>(O13+S13)*Constants!$C$3*IF(E13="Missionary",Constants!$C$4,1)</f>
        <v>46.2</v>
      </c>
      <c r="X13" s="15">
        <f>MIN(Constants!$C$8,MAX(Constants!$C$7,Constants!$C$5+R13*Constants!$C$6))</f>
        <v>0.75</v>
      </c>
      <c r="Y13" s="14">
        <f t="shared" si="1"/>
        <v>34.650000000000006</v>
      </c>
      <c r="Z13" s="15">
        <f>MIN(Constants!$C$16,MAX(Constants!$C$15,Constants!$C$13-T13*Constants!$C$17-IF(E13="Shieldbearer",Constants!$C$19,0)))</f>
        <v>0.83799999999999997</v>
      </c>
      <c r="AA13" s="15">
        <f>MIN(Constants!$C$24,Q13*Constants!$C$23)</f>
        <v>1.2E-2</v>
      </c>
      <c r="AB13" s="15">
        <f>MIN(Constants!$C$36,Constants!$C$34+P13*Constants!$C$35)</f>
        <v>0.14600000000000002</v>
      </c>
      <c r="AC13" s="14">
        <f>Constants!$C$46/U13</f>
        <v>6.666666666666667</v>
      </c>
      <c r="AD13" s="15" t="str">
        <f>IF(LEFT(C13,11)="Legionnaire",Constants!$C$40*0.5*MAX(0,1-(P13+Q13)/Constants!$C$41),"-")</f>
        <v>-</v>
      </c>
      <c r="AE13" s="9" t="str">
        <f>IF(D13="Enemy",ROUNDUP(O13/Constants!$C$42,0),"-")</f>
        <v>-</v>
      </c>
    </row>
    <row r="14" spans="1:31" x14ac:dyDescent="0.25">
      <c r="A14" s="9" t="str">
        <f t="shared" si="0"/>
        <v>jerusalem - Peter</v>
      </c>
      <c r="B14" s="17" t="s">
        <v>113</v>
      </c>
      <c r="C14" s="17" t="s">
        <v>115</v>
      </c>
      <c r="D14" s="17" t="s">
        <v>89</v>
      </c>
      <c r="E14" s="17" t="s">
        <v>116</v>
      </c>
      <c r="F14" s="17">
        <v>1</v>
      </c>
      <c r="G14" s="17"/>
      <c r="H14" s="17" t="s">
        <v>117</v>
      </c>
      <c r="I14" s="17">
        <v>12</v>
      </c>
      <c r="J14" s="17">
        <v>3</v>
      </c>
      <c r="K14" s="17">
        <v>1</v>
      </c>
      <c r="L14" s="17">
        <v>20</v>
      </c>
      <c r="M14" s="17">
        <v>10</v>
      </c>
      <c r="N14" s="17">
        <v>28</v>
      </c>
      <c r="O14" s="17">
        <v>122</v>
      </c>
      <c r="P14" s="17">
        <v>6</v>
      </c>
      <c r="Q14" s="17">
        <v>32</v>
      </c>
      <c r="R14" s="17">
        <v>25</v>
      </c>
      <c r="S14" s="9">
        <f>M14+IFERROR(INDEX('Level Growth'!$C$4:$C$12,MATCH(E14,'Level Growth'!$A$4:$A$12,0)),'Level Growth'!$C$12)*(F14-1)</f>
        <v>10</v>
      </c>
      <c r="T14" s="9">
        <f>N14+IFERROR(INDEX('Level Growth'!$D$4:$D$12,MATCH(E14,'Level Growth'!$A$4:$A$12,0)),'Level Growth'!$D$12)*(F14-1)</f>
        <v>28</v>
      </c>
      <c r="U14" s="9">
        <f>I14+INT(F14/Constants!$C$52)</f>
        <v>12</v>
      </c>
      <c r="V14" s="9">
        <f>J14+IF(G14="horse",Constants!$C$45,0)</f>
        <v>3</v>
      </c>
      <c r="W14" s="14">
        <f>(O14+S14)*Constants!$C$3*IF(E14="Missionary",Constants!$C$4,1)</f>
        <v>26.400000000000002</v>
      </c>
      <c r="X14" s="15">
        <f>MIN(Constants!$C$8,MAX(Constants!$C$7,Constants!$C$5+R14*Constants!$C$6))</f>
        <v>0.8</v>
      </c>
      <c r="Y14" s="14">
        <f t="shared" si="1"/>
        <v>21.120000000000005</v>
      </c>
      <c r="Z14" s="15">
        <f>MIN(Constants!$C$16,MAX(Constants!$C$15,Constants!$C$13-T14*Constants!$C$17-IF(E14="Shieldbearer",Constants!$C$19,0)))</f>
        <v>0.79399999999999993</v>
      </c>
      <c r="AA14" s="15">
        <f>MIN(Constants!$C$24,Q14*Constants!$C$23)</f>
        <v>0.128</v>
      </c>
      <c r="AB14" s="15">
        <f>MIN(Constants!$C$36,Constants!$C$34+P14*Constants!$C$35)</f>
        <v>7.400000000000001E-2</v>
      </c>
      <c r="AC14" s="14">
        <f>Constants!$C$46/U14</f>
        <v>8.3333333333333339</v>
      </c>
      <c r="AD14" s="15" t="str">
        <f>IF(LEFT(C14,11)="Legionnaire",Constants!$C$40*0.5*MAX(0,1-(P14+Q14)/Constants!$C$41),"-")</f>
        <v>-</v>
      </c>
      <c r="AE14" s="9" t="str">
        <f>IF(D14="Enemy",ROUNDUP(O14/Constants!$C$42,0),"-")</f>
        <v>-</v>
      </c>
    </row>
    <row r="15" spans="1:31" x14ac:dyDescent="0.25">
      <c r="A15" s="9" t="str">
        <f t="shared" si="0"/>
        <v>jerusalem - Barnabas</v>
      </c>
      <c r="B15" s="17" t="s">
        <v>113</v>
      </c>
      <c r="C15" s="17" t="s">
        <v>118</v>
      </c>
      <c r="D15" s="17" t="s">
        <v>89</v>
      </c>
      <c r="E15" s="17" t="s">
        <v>116</v>
      </c>
      <c r="F15" s="17">
        <v>1</v>
      </c>
      <c r="G15" s="17"/>
      <c r="H15" s="17" t="s">
        <v>119</v>
      </c>
      <c r="I15" s="17">
        <v>11</v>
      </c>
      <c r="J15" s="17">
        <v>3</v>
      </c>
      <c r="K15" s="17">
        <v>1</v>
      </c>
      <c r="L15" s="17">
        <v>15</v>
      </c>
      <c r="M15" s="17">
        <v>38</v>
      </c>
      <c r="N15" s="17">
        <v>48</v>
      </c>
      <c r="O15" s="17">
        <v>150</v>
      </c>
      <c r="P15" s="17">
        <v>40</v>
      </c>
      <c r="Q15" s="17">
        <v>33</v>
      </c>
      <c r="R15" s="17">
        <v>21</v>
      </c>
      <c r="S15" s="9">
        <f>M15+IFERROR(INDEX('Level Growth'!$C$4:$C$12,MATCH(E15,'Level Growth'!$A$4:$A$12,0)),'Level Growth'!$C$12)*(F15-1)</f>
        <v>38</v>
      </c>
      <c r="T15" s="9">
        <f>N15+IFERROR(INDEX('Level Growth'!$D$4:$D$12,MATCH(E15,'Level Growth'!$A$4:$A$12,0)),'Level Growth'!$D$12)*(F15-1)</f>
        <v>48</v>
      </c>
      <c r="U15" s="9">
        <f>I15+INT(F15/Constants!$C$52)</f>
        <v>11</v>
      </c>
      <c r="V15" s="9">
        <f>J15+IF(G15="horse",Constants!$C$45,0)</f>
        <v>3</v>
      </c>
      <c r="W15" s="14">
        <f>(O15+S15)*Constants!$C$3*IF(E15="Missionary",Constants!$C$4,1)</f>
        <v>37.6</v>
      </c>
      <c r="X15" s="15">
        <f>MIN(Constants!$C$8,MAX(Constants!$C$7,Constants!$C$5+R15*Constants!$C$6))</f>
        <v>0.76</v>
      </c>
      <c r="Y15" s="14">
        <f t="shared" si="1"/>
        <v>28.576000000000001</v>
      </c>
      <c r="Z15" s="15">
        <f>MIN(Constants!$C$16,MAX(Constants!$C$15,Constants!$C$13-T15*Constants!$C$17-IF(E15="Shieldbearer",Constants!$C$19,0)))</f>
        <v>0.754</v>
      </c>
      <c r="AA15" s="15">
        <f>MIN(Constants!$C$24,Q15*Constants!$C$23)</f>
        <v>0.13200000000000001</v>
      </c>
      <c r="AB15" s="15">
        <f>MIN(Constants!$C$36,Constants!$C$34+P15*Constants!$C$35)</f>
        <v>0.21000000000000002</v>
      </c>
      <c r="AC15" s="14">
        <f>Constants!$C$46/U15</f>
        <v>9.0909090909090917</v>
      </c>
      <c r="AD15" s="15" t="str">
        <f>IF(LEFT(C15,11)="Legionnaire",Constants!$C$40*0.5*MAX(0,1-(P15+Q15)/Constants!$C$41),"-")</f>
        <v>-</v>
      </c>
      <c r="AE15" s="9" t="str">
        <f>IF(D15="Enemy",ROUNDUP(O15/Constants!$C$42,0),"-")</f>
        <v>-</v>
      </c>
    </row>
    <row r="16" spans="1:31" x14ac:dyDescent="0.25">
      <c r="A16" s="9" t="str">
        <f t="shared" si="0"/>
        <v>jerusalem - Mark</v>
      </c>
      <c r="B16" s="17" t="s">
        <v>113</v>
      </c>
      <c r="C16" s="17" t="s">
        <v>120</v>
      </c>
      <c r="D16" s="17" t="s">
        <v>89</v>
      </c>
      <c r="E16" s="17" t="s">
        <v>116</v>
      </c>
      <c r="F16" s="17">
        <v>1</v>
      </c>
      <c r="G16" s="17"/>
      <c r="H16" s="17" t="s">
        <v>121</v>
      </c>
      <c r="I16" s="17">
        <v>13</v>
      </c>
      <c r="J16" s="17">
        <v>3</v>
      </c>
      <c r="K16" s="17">
        <v>1</v>
      </c>
      <c r="L16" s="17">
        <v>10</v>
      </c>
      <c r="M16" s="17">
        <v>12</v>
      </c>
      <c r="N16" s="17">
        <v>16</v>
      </c>
      <c r="O16" s="17">
        <v>118</v>
      </c>
      <c r="P16" s="17">
        <v>41</v>
      </c>
      <c r="Q16" s="17">
        <v>26</v>
      </c>
      <c r="R16" s="17">
        <v>45</v>
      </c>
      <c r="S16" s="9">
        <f>M16+IFERROR(INDEX('Level Growth'!$C$4:$C$12,MATCH(E16,'Level Growth'!$A$4:$A$12,0)),'Level Growth'!$C$12)*(F16-1)</f>
        <v>12</v>
      </c>
      <c r="T16" s="9">
        <f>N16+IFERROR(INDEX('Level Growth'!$D$4:$D$12,MATCH(E16,'Level Growth'!$A$4:$A$12,0)),'Level Growth'!$D$12)*(F16-1)</f>
        <v>16</v>
      </c>
      <c r="U16" s="9">
        <f>I16+INT(F16/Constants!$C$52)</f>
        <v>13</v>
      </c>
      <c r="V16" s="9">
        <f>J16+IF(G16="horse",Constants!$C$45,0)</f>
        <v>3</v>
      </c>
      <c r="W16" s="14">
        <f>(O16+S16)*Constants!$C$3*IF(E16="Missionary",Constants!$C$4,1)</f>
        <v>26</v>
      </c>
      <c r="X16" s="15">
        <f>MIN(Constants!$C$8,MAX(Constants!$C$7,Constants!$C$5+R16*Constants!$C$6))</f>
        <v>0.98</v>
      </c>
      <c r="Y16" s="14">
        <f t="shared" si="1"/>
        <v>25.48</v>
      </c>
      <c r="Z16" s="15">
        <f>MIN(Constants!$C$16,MAX(Constants!$C$15,Constants!$C$13-T16*Constants!$C$17-IF(E16="Shieldbearer",Constants!$C$19,0)))</f>
        <v>0.81799999999999995</v>
      </c>
      <c r="AA16" s="15">
        <f>MIN(Constants!$C$24,Q16*Constants!$C$23)</f>
        <v>0.10400000000000001</v>
      </c>
      <c r="AB16" s="15">
        <f>MIN(Constants!$C$36,Constants!$C$34+P16*Constants!$C$35)</f>
        <v>0.21400000000000002</v>
      </c>
      <c r="AC16" s="14">
        <f>Constants!$C$46/U16</f>
        <v>7.6923076923076925</v>
      </c>
      <c r="AD16" s="15" t="str">
        <f>IF(LEFT(C16,11)="Legionnaire",Constants!$C$40*0.5*MAX(0,1-(P16+Q16)/Constants!$C$41),"-")</f>
        <v>-</v>
      </c>
      <c r="AE16" s="9" t="str">
        <f>IF(D16="Enemy",ROUNDUP(O16/Constants!$C$42,0),"-")</f>
        <v>-</v>
      </c>
    </row>
    <row r="17" spans="1:31" x14ac:dyDescent="0.25">
      <c r="A17" s="9" t="str">
        <f t="shared" si="0"/>
        <v>jerusalem - John</v>
      </c>
      <c r="B17" s="17" t="s">
        <v>113</v>
      </c>
      <c r="C17" s="17" t="s">
        <v>122</v>
      </c>
      <c r="D17" s="17" t="s">
        <v>89</v>
      </c>
      <c r="E17" s="17" t="s">
        <v>116</v>
      </c>
      <c r="F17" s="17">
        <v>1</v>
      </c>
      <c r="G17" s="17"/>
      <c r="H17" s="17" t="s">
        <v>123</v>
      </c>
      <c r="I17" s="17">
        <v>11</v>
      </c>
      <c r="J17" s="17">
        <v>3</v>
      </c>
      <c r="K17" s="17">
        <v>1</v>
      </c>
      <c r="L17" s="17">
        <v>50</v>
      </c>
      <c r="M17" s="17">
        <v>31</v>
      </c>
      <c r="N17" s="17">
        <v>26</v>
      </c>
      <c r="O17" s="17">
        <v>113</v>
      </c>
      <c r="P17" s="17">
        <v>19</v>
      </c>
      <c r="Q17" s="17">
        <v>13</v>
      </c>
      <c r="R17" s="17">
        <v>34</v>
      </c>
      <c r="S17" s="9">
        <f>M17+IFERROR(INDEX('Level Growth'!$C$4:$C$12,MATCH(E17,'Level Growth'!$A$4:$A$12,0)),'Level Growth'!$C$12)*(F17-1)</f>
        <v>31</v>
      </c>
      <c r="T17" s="9">
        <f>N17+IFERROR(INDEX('Level Growth'!$D$4:$D$12,MATCH(E17,'Level Growth'!$A$4:$A$12,0)),'Level Growth'!$D$12)*(F17-1)</f>
        <v>26</v>
      </c>
      <c r="U17" s="9">
        <f>I17+INT(F17/Constants!$C$52)</f>
        <v>11</v>
      </c>
      <c r="V17" s="9">
        <f>J17+IF(G17="horse",Constants!$C$45,0)</f>
        <v>3</v>
      </c>
      <c r="W17" s="14">
        <f>(O17+S17)*Constants!$C$3*IF(E17="Missionary",Constants!$C$4,1)</f>
        <v>28.8</v>
      </c>
      <c r="X17" s="15">
        <f>MIN(Constants!$C$8,MAX(Constants!$C$7,Constants!$C$5+R17*Constants!$C$6))</f>
        <v>0.89000000000000012</v>
      </c>
      <c r="Y17" s="14">
        <f t="shared" si="1"/>
        <v>25.632000000000005</v>
      </c>
      <c r="Z17" s="15">
        <f>MIN(Constants!$C$16,MAX(Constants!$C$15,Constants!$C$13-T17*Constants!$C$17-IF(E17="Shieldbearer",Constants!$C$19,0)))</f>
        <v>0.79799999999999993</v>
      </c>
      <c r="AA17" s="15">
        <f>MIN(Constants!$C$24,Q17*Constants!$C$23)</f>
        <v>5.2000000000000005E-2</v>
      </c>
      <c r="AB17" s="15">
        <f>MIN(Constants!$C$36,Constants!$C$34+P17*Constants!$C$35)</f>
        <v>0.126</v>
      </c>
      <c r="AC17" s="14">
        <f>Constants!$C$46/U17</f>
        <v>9.0909090909090917</v>
      </c>
      <c r="AD17" s="15" t="str">
        <f>IF(LEFT(C17,11)="Legionnaire",Constants!$C$40*0.5*MAX(0,1-(P17+Q17)/Constants!$C$41),"-")</f>
        <v>-</v>
      </c>
      <c r="AE17" s="9" t="str">
        <f>IF(D17="Enemy",ROUNDUP(O17/Constants!$C$42,0),"-")</f>
        <v>-</v>
      </c>
    </row>
    <row r="18" spans="1:31" x14ac:dyDescent="0.25">
      <c r="A18" s="9" t="str">
        <f t="shared" si="0"/>
        <v>jerusalem - Legionnaire Shieldbearer 1</v>
      </c>
      <c r="B18" s="17" t="s">
        <v>113</v>
      </c>
      <c r="C18" s="17" t="s">
        <v>124</v>
      </c>
      <c r="D18" s="17" t="s">
        <v>103</v>
      </c>
      <c r="E18" s="17" t="s">
        <v>125</v>
      </c>
      <c r="F18" s="17">
        <v>1</v>
      </c>
      <c r="G18" s="17"/>
      <c r="H18" s="17" t="s">
        <v>126</v>
      </c>
      <c r="I18" s="17">
        <v>10</v>
      </c>
      <c r="J18" s="17">
        <v>3</v>
      </c>
      <c r="K18" s="17">
        <v>1</v>
      </c>
      <c r="L18" s="17">
        <v>0</v>
      </c>
      <c r="M18" s="17">
        <v>15</v>
      </c>
      <c r="N18" s="17">
        <v>20</v>
      </c>
      <c r="O18" s="17">
        <v>100</v>
      </c>
      <c r="P18" s="17">
        <v>20</v>
      </c>
      <c r="Q18" s="17">
        <v>20</v>
      </c>
      <c r="R18" s="17">
        <v>20</v>
      </c>
      <c r="S18" s="9">
        <f>M18+IFERROR(INDEX('Level Growth'!$C$4:$C$12,MATCH(E18,'Level Growth'!$A$4:$A$12,0)),'Level Growth'!$C$12)*(F18-1)</f>
        <v>15</v>
      </c>
      <c r="T18" s="9">
        <f>N18+IFERROR(INDEX('Level Growth'!$D$4:$D$12,MATCH(E18,'Level Growth'!$A$4:$A$12,0)),'Level Growth'!$D$12)*(F18-1)</f>
        <v>20</v>
      </c>
      <c r="U18" s="9">
        <f>I18+INT(F18/Constants!$C$52)</f>
        <v>10</v>
      </c>
      <c r="V18" s="9">
        <f>J18+IF(G18="horse",Constants!$C$45,0)</f>
        <v>3</v>
      </c>
      <c r="W18" s="14">
        <f>(O18+S18)*Constants!$C$3*IF(E18="Missionary",Constants!$C$4,1)</f>
        <v>23</v>
      </c>
      <c r="X18" s="15">
        <f>MIN(Constants!$C$8,MAX(Constants!$C$7,Constants!$C$5+R18*Constants!$C$6))</f>
        <v>0.75</v>
      </c>
      <c r="Y18" s="14">
        <f t="shared" si="1"/>
        <v>17.25</v>
      </c>
      <c r="Z18" s="15">
        <f>MIN(Constants!$C$16,MAX(Constants!$C$15,Constants!$C$13-T18*Constants!$C$17-IF(E18="Shieldbearer",Constants!$C$19,0)))</f>
        <v>0.65999999999999992</v>
      </c>
      <c r="AA18" s="15">
        <f>MIN(Constants!$C$24,Q18*Constants!$C$23)</f>
        <v>0.08</v>
      </c>
      <c r="AB18" s="15">
        <f>MIN(Constants!$C$36,Constants!$C$34+P18*Constants!$C$35)</f>
        <v>0.13</v>
      </c>
      <c r="AC18" s="14">
        <f>Constants!$C$46/U18</f>
        <v>10</v>
      </c>
      <c r="AD18" s="15">
        <f>IF(LEFT(C18,11)="Legionnaire",Constants!$C$40*0.5*MAX(0,1-(P18+Q18)/Constants!$C$41),"-")</f>
        <v>0.22</v>
      </c>
      <c r="AE18" s="9">
        <f>IF(D18="Enemy",ROUNDUP(O18/Constants!$C$42,0),"-")</f>
        <v>10</v>
      </c>
    </row>
    <row r="19" spans="1:31" x14ac:dyDescent="0.25">
      <c r="A19" s="9" t="str">
        <f t="shared" si="0"/>
        <v>jerusalem - Legionnaire Archer 1</v>
      </c>
      <c r="B19" s="17" t="s">
        <v>113</v>
      </c>
      <c r="C19" s="17" t="s">
        <v>127</v>
      </c>
      <c r="D19" s="17" t="s">
        <v>103</v>
      </c>
      <c r="E19" s="17" t="s">
        <v>128</v>
      </c>
      <c r="F19" s="17">
        <v>1</v>
      </c>
      <c r="G19" s="17"/>
      <c r="H19" s="17" t="s">
        <v>129</v>
      </c>
      <c r="I19" s="17">
        <v>10</v>
      </c>
      <c r="J19" s="17">
        <v>3</v>
      </c>
      <c r="K19" s="17">
        <v>1</v>
      </c>
      <c r="L19" s="17">
        <v>0</v>
      </c>
      <c r="M19" s="17">
        <v>18</v>
      </c>
      <c r="N19" s="17">
        <v>22</v>
      </c>
      <c r="O19" s="17">
        <v>100</v>
      </c>
      <c r="P19" s="17">
        <v>22</v>
      </c>
      <c r="Q19" s="17">
        <v>18</v>
      </c>
      <c r="R19" s="17">
        <v>18</v>
      </c>
      <c r="S19" s="9">
        <f>M19+IFERROR(INDEX('Level Growth'!$C$4:$C$12,MATCH(E19,'Level Growth'!$A$4:$A$12,0)),'Level Growth'!$C$12)*(F19-1)</f>
        <v>18</v>
      </c>
      <c r="T19" s="9">
        <f>N19+IFERROR(INDEX('Level Growth'!$D$4:$D$12,MATCH(E19,'Level Growth'!$A$4:$A$12,0)),'Level Growth'!$D$12)*(F19-1)</f>
        <v>22</v>
      </c>
      <c r="U19" s="9">
        <f>I19+INT(F19/Constants!$C$52)</f>
        <v>10</v>
      </c>
      <c r="V19" s="9">
        <f>J19+IF(G19="horse",Constants!$C$45,0)</f>
        <v>3</v>
      </c>
      <c r="W19" s="14">
        <f>(O19+S19)*Constants!$C$3*IF(E19="Missionary",Constants!$C$4,1)</f>
        <v>23.6</v>
      </c>
      <c r="X19" s="15">
        <f>MIN(Constants!$C$8,MAX(Constants!$C$7,Constants!$C$5+R19*Constants!$C$6))</f>
        <v>0.73</v>
      </c>
      <c r="Y19" s="14">
        <f t="shared" si="1"/>
        <v>17.228000000000002</v>
      </c>
      <c r="Z19" s="15">
        <f>MIN(Constants!$C$16,MAX(Constants!$C$15,Constants!$C$13-T19*Constants!$C$17-IF(E19="Shieldbearer",Constants!$C$19,0)))</f>
        <v>0.80599999999999994</v>
      </c>
      <c r="AA19" s="15">
        <f>MIN(Constants!$C$24,Q19*Constants!$C$23)</f>
        <v>7.2000000000000008E-2</v>
      </c>
      <c r="AB19" s="15">
        <f>MIN(Constants!$C$36,Constants!$C$34+P19*Constants!$C$35)</f>
        <v>0.13800000000000001</v>
      </c>
      <c r="AC19" s="14">
        <f>Constants!$C$46/U19</f>
        <v>10</v>
      </c>
      <c r="AD19" s="15">
        <f>IF(LEFT(C19,11)="Legionnaire",Constants!$C$40*0.5*MAX(0,1-(P19+Q19)/Constants!$C$41),"-")</f>
        <v>0.22</v>
      </c>
      <c r="AE19" s="9">
        <f>IF(D19="Enemy",ROUNDUP(O19/Constants!$C$42,0),"-")</f>
        <v>10</v>
      </c>
    </row>
    <row r="20" spans="1:31" x14ac:dyDescent="0.25">
      <c r="A20" s="9" t="str">
        <f t="shared" si="0"/>
        <v>jerusalem - Legionnaire Medic 1</v>
      </c>
      <c r="B20" s="17" t="s">
        <v>113</v>
      </c>
      <c r="C20" s="17" t="s">
        <v>130</v>
      </c>
      <c r="D20" s="17" t="s">
        <v>103</v>
      </c>
      <c r="E20" s="17" t="s">
        <v>131</v>
      </c>
      <c r="F20" s="17">
        <v>1</v>
      </c>
      <c r="G20" s="17"/>
      <c r="H20" s="17" t="s">
        <v>132</v>
      </c>
      <c r="I20" s="17">
        <v>11</v>
      </c>
      <c r="J20" s="17">
        <v>3</v>
      </c>
      <c r="K20" s="17">
        <v>1</v>
      </c>
      <c r="L20" s="17">
        <v>0</v>
      </c>
      <c r="M20" s="17">
        <v>17</v>
      </c>
      <c r="N20" s="17">
        <v>21</v>
      </c>
      <c r="O20" s="17">
        <v>100</v>
      </c>
      <c r="P20" s="17">
        <v>24</v>
      </c>
      <c r="Q20" s="17">
        <v>19</v>
      </c>
      <c r="R20" s="17">
        <v>21</v>
      </c>
      <c r="S20" s="9">
        <f>M20+IFERROR(INDEX('Level Growth'!$C$4:$C$12,MATCH(E20,'Level Growth'!$A$4:$A$12,0)),'Level Growth'!$C$12)*(F20-1)</f>
        <v>17</v>
      </c>
      <c r="T20" s="9">
        <f>N20+IFERROR(INDEX('Level Growth'!$D$4:$D$12,MATCH(E20,'Level Growth'!$A$4:$A$12,0)),'Level Growth'!$D$12)*(F20-1)</f>
        <v>21</v>
      </c>
      <c r="U20" s="9">
        <f>I20+INT(F20/Constants!$C$52)</f>
        <v>11</v>
      </c>
      <c r="V20" s="9">
        <f>J20+IF(G20="horse",Constants!$C$45,0)</f>
        <v>3</v>
      </c>
      <c r="W20" s="14">
        <f>(O20+S20)*Constants!$C$3*IF(E20="Missionary",Constants!$C$4,1)</f>
        <v>23.400000000000002</v>
      </c>
      <c r="X20" s="15">
        <f>MIN(Constants!$C$8,MAX(Constants!$C$7,Constants!$C$5+R20*Constants!$C$6))</f>
        <v>0.76</v>
      </c>
      <c r="Y20" s="14">
        <f t="shared" si="1"/>
        <v>17.784000000000002</v>
      </c>
      <c r="Z20" s="15">
        <f>MIN(Constants!$C$16,MAX(Constants!$C$15,Constants!$C$13-T20*Constants!$C$17-IF(E20="Shieldbearer",Constants!$C$19,0)))</f>
        <v>0.80799999999999994</v>
      </c>
      <c r="AA20" s="15">
        <f>MIN(Constants!$C$24,Q20*Constants!$C$23)</f>
        <v>7.5999999999999998E-2</v>
      </c>
      <c r="AB20" s="15">
        <f>MIN(Constants!$C$36,Constants!$C$34+P20*Constants!$C$35)</f>
        <v>0.14600000000000002</v>
      </c>
      <c r="AC20" s="14">
        <f>Constants!$C$46/U20</f>
        <v>9.0909090909090917</v>
      </c>
      <c r="AD20" s="15">
        <f>IF(LEFT(C20,11)="Legionnaire",Constants!$C$40*0.5*MAX(0,1-(P20+Q20)/Constants!$C$41),"-")</f>
        <v>0.214</v>
      </c>
      <c r="AE20" s="9">
        <f>IF(D20="Enemy",ROUNDUP(O20/Constants!$C$42,0),"-")</f>
        <v>10</v>
      </c>
    </row>
    <row r="21" spans="1:31" x14ac:dyDescent="0.25">
      <c r="A21" s="9" t="str">
        <f t="shared" si="0"/>
        <v>jerusalem - Legionnaire Shieldbearer 2</v>
      </c>
      <c r="B21" s="17" t="s">
        <v>113</v>
      </c>
      <c r="C21" s="17" t="s">
        <v>133</v>
      </c>
      <c r="D21" s="17" t="s">
        <v>103</v>
      </c>
      <c r="E21" s="17" t="s">
        <v>125</v>
      </c>
      <c r="F21" s="17">
        <v>1</v>
      </c>
      <c r="G21" s="17"/>
      <c r="H21" s="17" t="s">
        <v>126</v>
      </c>
      <c r="I21" s="17">
        <v>10</v>
      </c>
      <c r="J21" s="17">
        <v>3</v>
      </c>
      <c r="K21" s="17">
        <v>1</v>
      </c>
      <c r="L21" s="17">
        <v>0</v>
      </c>
      <c r="M21" s="17">
        <v>16</v>
      </c>
      <c r="N21" s="17">
        <v>19</v>
      </c>
      <c r="O21" s="17">
        <v>100</v>
      </c>
      <c r="P21" s="17">
        <v>21</v>
      </c>
      <c r="Q21" s="17">
        <v>22</v>
      </c>
      <c r="R21" s="17">
        <v>19</v>
      </c>
      <c r="S21" s="9">
        <f>M21+IFERROR(INDEX('Level Growth'!$C$4:$C$12,MATCH(E21,'Level Growth'!$A$4:$A$12,0)),'Level Growth'!$C$12)*(F21-1)</f>
        <v>16</v>
      </c>
      <c r="T21" s="9">
        <f>N21+IFERROR(INDEX('Level Growth'!$D$4:$D$12,MATCH(E21,'Level Growth'!$A$4:$A$12,0)),'Level Growth'!$D$12)*(F21-1)</f>
        <v>19</v>
      </c>
      <c r="U21" s="9">
        <f>I21+INT(F21/Constants!$C$52)</f>
        <v>10</v>
      </c>
      <c r="V21" s="9">
        <f>J21+IF(G21="horse",Constants!$C$45,0)</f>
        <v>3</v>
      </c>
      <c r="W21" s="14">
        <f>(O21+S21)*Constants!$C$3*IF(E21="Missionary",Constants!$C$4,1)</f>
        <v>23.200000000000003</v>
      </c>
      <c r="X21" s="15">
        <f>MIN(Constants!$C$8,MAX(Constants!$C$7,Constants!$C$5+R21*Constants!$C$6))</f>
        <v>0.74</v>
      </c>
      <c r="Y21" s="14">
        <f t="shared" si="1"/>
        <v>17.168000000000003</v>
      </c>
      <c r="Z21" s="15">
        <f>MIN(Constants!$C$16,MAX(Constants!$C$15,Constants!$C$13-T21*Constants!$C$17-IF(E21="Shieldbearer",Constants!$C$19,0)))</f>
        <v>0.66199999999999992</v>
      </c>
      <c r="AA21" s="15">
        <f>MIN(Constants!$C$24,Q21*Constants!$C$23)</f>
        <v>8.7999999999999995E-2</v>
      </c>
      <c r="AB21" s="15">
        <f>MIN(Constants!$C$36,Constants!$C$34+P21*Constants!$C$35)</f>
        <v>0.13400000000000001</v>
      </c>
      <c r="AC21" s="14">
        <f>Constants!$C$46/U21</f>
        <v>10</v>
      </c>
      <c r="AD21" s="15">
        <f>IF(LEFT(C21,11)="Legionnaire",Constants!$C$40*0.5*MAX(0,1-(P21+Q21)/Constants!$C$41),"-")</f>
        <v>0.214</v>
      </c>
      <c r="AE21" s="9">
        <f>IF(D21="Enemy",ROUNDUP(O21/Constants!$C$42,0),"-")</f>
        <v>10</v>
      </c>
    </row>
    <row r="22" spans="1:31" x14ac:dyDescent="0.25">
      <c r="A22" s="9" t="str">
        <f t="shared" si="0"/>
        <v>jerusalem - Legionnaire Shieldbearer 3</v>
      </c>
      <c r="B22" s="17" t="s">
        <v>113</v>
      </c>
      <c r="C22" s="17" t="s">
        <v>134</v>
      </c>
      <c r="D22" s="17" t="s">
        <v>103</v>
      </c>
      <c r="E22" s="17" t="s">
        <v>125</v>
      </c>
      <c r="F22" s="17">
        <v>1</v>
      </c>
      <c r="G22" s="17"/>
      <c r="H22" s="17" t="s">
        <v>126</v>
      </c>
      <c r="I22" s="17">
        <v>10</v>
      </c>
      <c r="J22" s="17">
        <v>3</v>
      </c>
      <c r="K22" s="17">
        <v>1</v>
      </c>
      <c r="L22" s="17">
        <v>0</v>
      </c>
      <c r="M22" s="17">
        <v>19</v>
      </c>
      <c r="N22" s="17">
        <v>23</v>
      </c>
      <c r="O22" s="17">
        <v>100</v>
      </c>
      <c r="P22" s="17">
        <v>23</v>
      </c>
      <c r="Q22" s="17">
        <v>20</v>
      </c>
      <c r="R22" s="17">
        <v>17</v>
      </c>
      <c r="S22" s="9">
        <f>M22+IFERROR(INDEX('Level Growth'!$C$4:$C$12,MATCH(E22,'Level Growth'!$A$4:$A$12,0)),'Level Growth'!$C$12)*(F22-1)</f>
        <v>19</v>
      </c>
      <c r="T22" s="9">
        <f>N22+IFERROR(INDEX('Level Growth'!$D$4:$D$12,MATCH(E22,'Level Growth'!$A$4:$A$12,0)),'Level Growth'!$D$12)*(F22-1)</f>
        <v>23</v>
      </c>
      <c r="U22" s="9">
        <f>I22+INT(F22/Constants!$C$52)</f>
        <v>10</v>
      </c>
      <c r="V22" s="9">
        <f>J22+IF(G22="horse",Constants!$C$45,0)</f>
        <v>3</v>
      </c>
      <c r="W22" s="14">
        <f>(O22+S22)*Constants!$C$3*IF(E22="Missionary",Constants!$C$4,1)</f>
        <v>23.8</v>
      </c>
      <c r="X22" s="15">
        <f>MIN(Constants!$C$8,MAX(Constants!$C$7,Constants!$C$5+R22*Constants!$C$6))</f>
        <v>0.72000000000000008</v>
      </c>
      <c r="Y22" s="14">
        <f t="shared" si="1"/>
        <v>17.136000000000003</v>
      </c>
      <c r="Z22" s="15">
        <f>MIN(Constants!$C$16,MAX(Constants!$C$15,Constants!$C$13-T22*Constants!$C$17-IF(E22="Shieldbearer",Constants!$C$19,0)))</f>
        <v>0.65399999999999991</v>
      </c>
      <c r="AA22" s="15">
        <f>MIN(Constants!$C$24,Q22*Constants!$C$23)</f>
        <v>0.08</v>
      </c>
      <c r="AB22" s="15">
        <f>MIN(Constants!$C$36,Constants!$C$34+P22*Constants!$C$35)</f>
        <v>0.14200000000000002</v>
      </c>
      <c r="AC22" s="14">
        <f>Constants!$C$46/U22</f>
        <v>10</v>
      </c>
      <c r="AD22" s="15">
        <f>IF(LEFT(C22,11)="Legionnaire",Constants!$C$40*0.5*MAX(0,1-(P22+Q22)/Constants!$C$41),"-")</f>
        <v>0.214</v>
      </c>
      <c r="AE22" s="9">
        <f>IF(D22="Enemy",ROUNDUP(O22/Constants!$C$42,0),"-")</f>
        <v>10</v>
      </c>
    </row>
    <row r="23" spans="1:31" x14ac:dyDescent="0.25">
      <c r="A23" s="9" t="str">
        <f t="shared" si="0"/>
        <v>jerusalem - Legionnaire Medic 2</v>
      </c>
      <c r="B23" s="17" t="s">
        <v>113</v>
      </c>
      <c r="C23" s="17" t="s">
        <v>135</v>
      </c>
      <c r="D23" s="17" t="s">
        <v>103</v>
      </c>
      <c r="E23" s="17" t="s">
        <v>131</v>
      </c>
      <c r="F23" s="17">
        <v>1</v>
      </c>
      <c r="G23" s="17"/>
      <c r="H23" s="17" t="s">
        <v>132</v>
      </c>
      <c r="I23" s="17">
        <v>11</v>
      </c>
      <c r="J23" s="17">
        <v>3</v>
      </c>
      <c r="K23" s="17">
        <v>1</v>
      </c>
      <c r="L23" s="17">
        <v>0</v>
      </c>
      <c r="M23" s="17">
        <v>14</v>
      </c>
      <c r="N23" s="17">
        <v>21</v>
      </c>
      <c r="O23" s="17">
        <v>100</v>
      </c>
      <c r="P23" s="17">
        <v>19</v>
      </c>
      <c r="Q23" s="17">
        <v>23</v>
      </c>
      <c r="R23" s="17">
        <v>22</v>
      </c>
      <c r="S23" s="9">
        <f>M23+IFERROR(INDEX('Level Growth'!$C$4:$C$12,MATCH(E23,'Level Growth'!$A$4:$A$12,0)),'Level Growth'!$C$12)*(F23-1)</f>
        <v>14</v>
      </c>
      <c r="T23" s="9">
        <f>N23+IFERROR(INDEX('Level Growth'!$D$4:$D$12,MATCH(E23,'Level Growth'!$A$4:$A$12,0)),'Level Growth'!$D$12)*(F23-1)</f>
        <v>21</v>
      </c>
      <c r="U23" s="9">
        <f>I23+INT(F23/Constants!$C$52)</f>
        <v>11</v>
      </c>
      <c r="V23" s="9">
        <f>J23+IF(G23="horse",Constants!$C$45,0)</f>
        <v>3</v>
      </c>
      <c r="W23" s="14">
        <f>(O23+S23)*Constants!$C$3*IF(E23="Missionary",Constants!$C$4,1)</f>
        <v>22.8</v>
      </c>
      <c r="X23" s="15">
        <f>MIN(Constants!$C$8,MAX(Constants!$C$7,Constants!$C$5+R23*Constants!$C$6))</f>
        <v>0.77</v>
      </c>
      <c r="Y23" s="14">
        <f t="shared" si="1"/>
        <v>17.556000000000001</v>
      </c>
      <c r="Z23" s="15">
        <f>MIN(Constants!$C$16,MAX(Constants!$C$15,Constants!$C$13-T23*Constants!$C$17-IF(E23="Shieldbearer",Constants!$C$19,0)))</f>
        <v>0.80799999999999994</v>
      </c>
      <c r="AA23" s="15">
        <f>MIN(Constants!$C$24,Q23*Constants!$C$23)</f>
        <v>9.1999999999999998E-2</v>
      </c>
      <c r="AB23" s="15">
        <f>MIN(Constants!$C$36,Constants!$C$34+P23*Constants!$C$35)</f>
        <v>0.126</v>
      </c>
      <c r="AC23" s="14">
        <f>Constants!$C$46/U23</f>
        <v>9.0909090909090917</v>
      </c>
      <c r="AD23" s="15">
        <f>IF(LEFT(C23,11)="Legionnaire",Constants!$C$40*0.5*MAX(0,1-(P23+Q23)/Constants!$C$41),"-")</f>
        <v>0.216</v>
      </c>
      <c r="AE23" s="9">
        <f>IF(D23="Enemy",ROUNDUP(O23/Constants!$C$42,0),"-")</f>
        <v>10</v>
      </c>
    </row>
    <row r="24" spans="1:31" x14ac:dyDescent="0.25">
      <c r="A24" s="9" t="str">
        <f t="shared" si="0"/>
        <v>antioch - Paul</v>
      </c>
      <c r="B24" s="17" t="s">
        <v>136</v>
      </c>
      <c r="C24" s="17" t="s">
        <v>88</v>
      </c>
      <c r="D24" s="17" t="s">
        <v>89</v>
      </c>
      <c r="E24" s="17" t="s">
        <v>90</v>
      </c>
      <c r="F24" s="17">
        <v>1</v>
      </c>
      <c r="G24" s="17"/>
      <c r="H24" s="17" t="s">
        <v>114</v>
      </c>
      <c r="I24" s="17">
        <v>15</v>
      </c>
      <c r="J24" s="17">
        <v>4</v>
      </c>
      <c r="K24" s="17">
        <v>2</v>
      </c>
      <c r="L24" s="17">
        <v>100</v>
      </c>
      <c r="M24" s="17">
        <v>25</v>
      </c>
      <c r="N24" s="17">
        <v>6</v>
      </c>
      <c r="O24" s="17">
        <v>129</v>
      </c>
      <c r="P24" s="17">
        <v>24</v>
      </c>
      <c r="Q24" s="17">
        <v>3</v>
      </c>
      <c r="R24" s="17">
        <v>20</v>
      </c>
      <c r="S24" s="9">
        <f>M24+IFERROR(INDEX('Level Growth'!$C$4:$C$12,MATCH(E24,'Level Growth'!$A$4:$A$12,0)),'Level Growth'!$C$12)*(F24-1)</f>
        <v>25</v>
      </c>
      <c r="T24" s="9">
        <f>N24+IFERROR(INDEX('Level Growth'!$D$4:$D$12,MATCH(E24,'Level Growth'!$A$4:$A$12,0)),'Level Growth'!$D$12)*(F24-1)</f>
        <v>6</v>
      </c>
      <c r="U24" s="9">
        <f>I24+INT(F24/Constants!$C$52)</f>
        <v>15</v>
      </c>
      <c r="V24" s="9">
        <f>J24+IF(G24="horse",Constants!$C$45,0)</f>
        <v>4</v>
      </c>
      <c r="W24" s="14">
        <f>(O24+S24)*Constants!$C$3*IF(E24="Missionary",Constants!$C$4,1)</f>
        <v>46.2</v>
      </c>
      <c r="X24" s="15">
        <f>MIN(Constants!$C$8,MAX(Constants!$C$7,Constants!$C$5+R24*Constants!$C$6))</f>
        <v>0.75</v>
      </c>
      <c r="Y24" s="14">
        <f t="shared" si="1"/>
        <v>34.650000000000006</v>
      </c>
      <c r="Z24" s="15">
        <f>MIN(Constants!$C$16,MAX(Constants!$C$15,Constants!$C$13-T24*Constants!$C$17-IF(E24="Shieldbearer",Constants!$C$19,0)))</f>
        <v>0.83799999999999997</v>
      </c>
      <c r="AA24" s="15">
        <f>MIN(Constants!$C$24,Q24*Constants!$C$23)</f>
        <v>1.2E-2</v>
      </c>
      <c r="AB24" s="15">
        <f>MIN(Constants!$C$36,Constants!$C$34+P24*Constants!$C$35)</f>
        <v>0.14600000000000002</v>
      </c>
      <c r="AC24" s="14">
        <f>Constants!$C$46/U24</f>
        <v>6.666666666666667</v>
      </c>
      <c r="AD24" s="15" t="str">
        <f>IF(LEFT(C24,11)="Legionnaire",Constants!$C$40*0.5*MAX(0,1-(P24+Q24)/Constants!$C$41),"-")</f>
        <v>-</v>
      </c>
      <c r="AE24" s="9" t="str">
        <f>IF(D24="Enemy",ROUNDUP(O24/Constants!$C$42,0),"-")</f>
        <v>-</v>
      </c>
    </row>
    <row r="25" spans="1:31" x14ac:dyDescent="0.25">
      <c r="A25" s="9" t="str">
        <f t="shared" si="0"/>
        <v>antioch - Peter</v>
      </c>
      <c r="B25" s="17" t="s">
        <v>136</v>
      </c>
      <c r="C25" s="17" t="s">
        <v>115</v>
      </c>
      <c r="D25" s="17" t="s">
        <v>89</v>
      </c>
      <c r="E25" s="17" t="s">
        <v>116</v>
      </c>
      <c r="F25" s="17">
        <v>1</v>
      </c>
      <c r="G25" s="17"/>
      <c r="H25" s="17" t="s">
        <v>117</v>
      </c>
      <c r="I25" s="17">
        <v>12</v>
      </c>
      <c r="J25" s="17">
        <v>3</v>
      </c>
      <c r="K25" s="17">
        <v>1</v>
      </c>
      <c r="L25" s="17">
        <v>20</v>
      </c>
      <c r="M25" s="17">
        <v>10</v>
      </c>
      <c r="N25" s="17">
        <v>28</v>
      </c>
      <c r="O25" s="17">
        <v>122</v>
      </c>
      <c r="P25" s="17">
        <v>6</v>
      </c>
      <c r="Q25" s="17">
        <v>32</v>
      </c>
      <c r="R25" s="17">
        <v>25</v>
      </c>
      <c r="S25" s="9">
        <f>M25+IFERROR(INDEX('Level Growth'!$C$4:$C$12,MATCH(E25,'Level Growth'!$A$4:$A$12,0)),'Level Growth'!$C$12)*(F25-1)</f>
        <v>10</v>
      </c>
      <c r="T25" s="9">
        <f>N25+IFERROR(INDEX('Level Growth'!$D$4:$D$12,MATCH(E25,'Level Growth'!$A$4:$A$12,0)),'Level Growth'!$D$12)*(F25-1)</f>
        <v>28</v>
      </c>
      <c r="U25" s="9">
        <f>I25+INT(F25/Constants!$C$52)</f>
        <v>12</v>
      </c>
      <c r="V25" s="9">
        <f>J25+IF(G25="horse",Constants!$C$45,0)</f>
        <v>3</v>
      </c>
      <c r="W25" s="14">
        <f>(O25+S25)*Constants!$C$3*IF(E25="Missionary",Constants!$C$4,1)</f>
        <v>26.400000000000002</v>
      </c>
      <c r="X25" s="15">
        <f>MIN(Constants!$C$8,MAX(Constants!$C$7,Constants!$C$5+R25*Constants!$C$6))</f>
        <v>0.8</v>
      </c>
      <c r="Y25" s="14">
        <f t="shared" si="1"/>
        <v>21.120000000000005</v>
      </c>
      <c r="Z25" s="15">
        <f>MIN(Constants!$C$16,MAX(Constants!$C$15,Constants!$C$13-T25*Constants!$C$17-IF(E25="Shieldbearer",Constants!$C$19,0)))</f>
        <v>0.79399999999999993</v>
      </c>
      <c r="AA25" s="15">
        <f>MIN(Constants!$C$24,Q25*Constants!$C$23)</f>
        <v>0.128</v>
      </c>
      <c r="AB25" s="15">
        <f>MIN(Constants!$C$36,Constants!$C$34+P25*Constants!$C$35)</f>
        <v>7.400000000000001E-2</v>
      </c>
      <c r="AC25" s="14">
        <f>Constants!$C$46/U25</f>
        <v>8.3333333333333339</v>
      </c>
      <c r="AD25" s="15" t="str">
        <f>IF(LEFT(C25,11)="Legionnaire",Constants!$C$40*0.5*MAX(0,1-(P25+Q25)/Constants!$C$41),"-")</f>
        <v>-</v>
      </c>
      <c r="AE25" s="9" t="str">
        <f>IF(D25="Enemy",ROUNDUP(O25/Constants!$C$42,0),"-")</f>
        <v>-</v>
      </c>
    </row>
    <row r="26" spans="1:31" x14ac:dyDescent="0.25">
      <c r="A26" s="9" t="str">
        <f t="shared" si="0"/>
        <v>antioch - Barnabas</v>
      </c>
      <c r="B26" s="17" t="s">
        <v>136</v>
      </c>
      <c r="C26" s="17" t="s">
        <v>118</v>
      </c>
      <c r="D26" s="17" t="s">
        <v>89</v>
      </c>
      <c r="E26" s="17" t="s">
        <v>116</v>
      </c>
      <c r="F26" s="17">
        <v>1</v>
      </c>
      <c r="G26" s="17"/>
      <c r="H26" s="17" t="s">
        <v>119</v>
      </c>
      <c r="I26" s="17">
        <v>11</v>
      </c>
      <c r="J26" s="17">
        <v>3</v>
      </c>
      <c r="K26" s="17">
        <v>1</v>
      </c>
      <c r="L26" s="17">
        <v>15</v>
      </c>
      <c r="M26" s="17">
        <v>38</v>
      </c>
      <c r="N26" s="17">
        <v>48</v>
      </c>
      <c r="O26" s="17">
        <v>150</v>
      </c>
      <c r="P26" s="17">
        <v>40</v>
      </c>
      <c r="Q26" s="17">
        <v>33</v>
      </c>
      <c r="R26" s="17">
        <v>21</v>
      </c>
      <c r="S26" s="9">
        <f>M26+IFERROR(INDEX('Level Growth'!$C$4:$C$12,MATCH(E26,'Level Growth'!$A$4:$A$12,0)),'Level Growth'!$C$12)*(F26-1)</f>
        <v>38</v>
      </c>
      <c r="T26" s="9">
        <f>N26+IFERROR(INDEX('Level Growth'!$D$4:$D$12,MATCH(E26,'Level Growth'!$A$4:$A$12,0)),'Level Growth'!$D$12)*(F26-1)</f>
        <v>48</v>
      </c>
      <c r="U26" s="9">
        <f>I26+INT(F26/Constants!$C$52)</f>
        <v>11</v>
      </c>
      <c r="V26" s="9">
        <f>J26+IF(G26="horse",Constants!$C$45,0)</f>
        <v>3</v>
      </c>
      <c r="W26" s="14">
        <f>(O26+S26)*Constants!$C$3*IF(E26="Missionary",Constants!$C$4,1)</f>
        <v>37.6</v>
      </c>
      <c r="X26" s="15">
        <f>MIN(Constants!$C$8,MAX(Constants!$C$7,Constants!$C$5+R26*Constants!$C$6))</f>
        <v>0.76</v>
      </c>
      <c r="Y26" s="14">
        <f t="shared" si="1"/>
        <v>28.576000000000001</v>
      </c>
      <c r="Z26" s="15">
        <f>MIN(Constants!$C$16,MAX(Constants!$C$15,Constants!$C$13-T26*Constants!$C$17-IF(E26="Shieldbearer",Constants!$C$19,0)))</f>
        <v>0.754</v>
      </c>
      <c r="AA26" s="15">
        <f>MIN(Constants!$C$24,Q26*Constants!$C$23)</f>
        <v>0.13200000000000001</v>
      </c>
      <c r="AB26" s="15">
        <f>MIN(Constants!$C$36,Constants!$C$34+P26*Constants!$C$35)</f>
        <v>0.21000000000000002</v>
      </c>
      <c r="AC26" s="14">
        <f>Constants!$C$46/U26</f>
        <v>9.0909090909090917</v>
      </c>
      <c r="AD26" s="15" t="str">
        <f>IF(LEFT(C26,11)="Legionnaire",Constants!$C$40*0.5*MAX(0,1-(P26+Q26)/Constants!$C$41),"-")</f>
        <v>-</v>
      </c>
      <c r="AE26" s="9" t="str">
        <f>IF(D26="Enemy",ROUNDUP(O26/Constants!$C$42,0),"-")</f>
        <v>-</v>
      </c>
    </row>
    <row r="27" spans="1:31" x14ac:dyDescent="0.25">
      <c r="A27" s="9" t="str">
        <f t="shared" si="0"/>
        <v>antioch - Mark</v>
      </c>
      <c r="B27" s="17" t="s">
        <v>136</v>
      </c>
      <c r="C27" s="17" t="s">
        <v>120</v>
      </c>
      <c r="D27" s="17" t="s">
        <v>89</v>
      </c>
      <c r="E27" s="17" t="s">
        <v>116</v>
      </c>
      <c r="F27" s="17">
        <v>1</v>
      </c>
      <c r="G27" s="17"/>
      <c r="H27" s="17" t="s">
        <v>121</v>
      </c>
      <c r="I27" s="17">
        <v>13</v>
      </c>
      <c r="J27" s="17">
        <v>3</v>
      </c>
      <c r="K27" s="17">
        <v>1</v>
      </c>
      <c r="L27" s="17">
        <v>10</v>
      </c>
      <c r="M27" s="17">
        <v>12</v>
      </c>
      <c r="N27" s="17">
        <v>16</v>
      </c>
      <c r="O27" s="17">
        <v>118</v>
      </c>
      <c r="P27" s="17">
        <v>41</v>
      </c>
      <c r="Q27" s="17">
        <v>26</v>
      </c>
      <c r="R27" s="17">
        <v>45</v>
      </c>
      <c r="S27" s="9">
        <f>M27+IFERROR(INDEX('Level Growth'!$C$4:$C$12,MATCH(E27,'Level Growth'!$A$4:$A$12,0)),'Level Growth'!$C$12)*(F27-1)</f>
        <v>12</v>
      </c>
      <c r="T27" s="9">
        <f>N27+IFERROR(INDEX('Level Growth'!$D$4:$D$12,MATCH(E27,'Level Growth'!$A$4:$A$12,0)),'Level Growth'!$D$12)*(F27-1)</f>
        <v>16</v>
      </c>
      <c r="U27" s="9">
        <f>I27+INT(F27/Constants!$C$52)</f>
        <v>13</v>
      </c>
      <c r="V27" s="9">
        <f>J27+IF(G27="horse",Constants!$C$45,0)</f>
        <v>3</v>
      </c>
      <c r="W27" s="14">
        <f>(O27+S27)*Constants!$C$3*IF(E27="Missionary",Constants!$C$4,1)</f>
        <v>26</v>
      </c>
      <c r="X27" s="15">
        <f>MIN(Constants!$C$8,MAX(Constants!$C$7,Constants!$C$5+R27*Constants!$C$6))</f>
        <v>0.98</v>
      </c>
      <c r="Y27" s="14">
        <f t="shared" si="1"/>
        <v>25.48</v>
      </c>
      <c r="Z27" s="15">
        <f>MIN(Constants!$C$16,MAX(Constants!$C$15,Constants!$C$13-T27*Constants!$C$17-IF(E27="Shieldbearer",Constants!$C$19,0)))</f>
        <v>0.81799999999999995</v>
      </c>
      <c r="AA27" s="15">
        <f>MIN(Constants!$C$24,Q27*Constants!$C$23)</f>
        <v>0.10400000000000001</v>
      </c>
      <c r="AB27" s="15">
        <f>MIN(Constants!$C$36,Constants!$C$34+P27*Constants!$C$35)</f>
        <v>0.21400000000000002</v>
      </c>
      <c r="AC27" s="14">
        <f>Constants!$C$46/U27</f>
        <v>7.6923076923076925</v>
      </c>
      <c r="AD27" s="15" t="str">
        <f>IF(LEFT(C27,11)="Legionnaire",Constants!$C$40*0.5*MAX(0,1-(P27+Q27)/Constants!$C$41),"-")</f>
        <v>-</v>
      </c>
      <c r="AE27" s="9" t="str">
        <f>IF(D27="Enemy",ROUNDUP(O27/Constants!$C$42,0),"-")</f>
        <v>-</v>
      </c>
    </row>
    <row r="28" spans="1:31" x14ac:dyDescent="0.25">
      <c r="A28" s="9" t="str">
        <f t="shared" si="0"/>
        <v>antioch - John</v>
      </c>
      <c r="B28" s="17" t="s">
        <v>136</v>
      </c>
      <c r="C28" s="17" t="s">
        <v>122</v>
      </c>
      <c r="D28" s="17" t="s">
        <v>89</v>
      </c>
      <c r="E28" s="17" t="s">
        <v>116</v>
      </c>
      <c r="F28" s="17">
        <v>1</v>
      </c>
      <c r="G28" s="17"/>
      <c r="H28" s="17" t="s">
        <v>123</v>
      </c>
      <c r="I28" s="17">
        <v>11</v>
      </c>
      <c r="J28" s="17">
        <v>3</v>
      </c>
      <c r="K28" s="17">
        <v>1</v>
      </c>
      <c r="L28" s="17">
        <v>50</v>
      </c>
      <c r="M28" s="17">
        <v>31</v>
      </c>
      <c r="N28" s="17">
        <v>26</v>
      </c>
      <c r="O28" s="17">
        <v>113</v>
      </c>
      <c r="P28" s="17">
        <v>19</v>
      </c>
      <c r="Q28" s="17">
        <v>13</v>
      </c>
      <c r="R28" s="17">
        <v>34</v>
      </c>
      <c r="S28" s="9">
        <f>M28+IFERROR(INDEX('Level Growth'!$C$4:$C$12,MATCH(E28,'Level Growth'!$A$4:$A$12,0)),'Level Growth'!$C$12)*(F28-1)</f>
        <v>31</v>
      </c>
      <c r="T28" s="9">
        <f>N28+IFERROR(INDEX('Level Growth'!$D$4:$D$12,MATCH(E28,'Level Growth'!$A$4:$A$12,0)),'Level Growth'!$D$12)*(F28-1)</f>
        <v>26</v>
      </c>
      <c r="U28" s="9">
        <f>I28+INT(F28/Constants!$C$52)</f>
        <v>11</v>
      </c>
      <c r="V28" s="9">
        <f>J28+IF(G28="horse",Constants!$C$45,0)</f>
        <v>3</v>
      </c>
      <c r="W28" s="14">
        <f>(O28+S28)*Constants!$C$3*IF(E28="Missionary",Constants!$C$4,1)</f>
        <v>28.8</v>
      </c>
      <c r="X28" s="15">
        <f>MIN(Constants!$C$8,MAX(Constants!$C$7,Constants!$C$5+R28*Constants!$C$6))</f>
        <v>0.89000000000000012</v>
      </c>
      <c r="Y28" s="14">
        <f t="shared" si="1"/>
        <v>25.632000000000005</v>
      </c>
      <c r="Z28" s="15">
        <f>MIN(Constants!$C$16,MAX(Constants!$C$15,Constants!$C$13-T28*Constants!$C$17-IF(E28="Shieldbearer",Constants!$C$19,0)))</f>
        <v>0.79799999999999993</v>
      </c>
      <c r="AA28" s="15">
        <f>MIN(Constants!$C$24,Q28*Constants!$C$23)</f>
        <v>5.2000000000000005E-2</v>
      </c>
      <c r="AB28" s="15">
        <f>MIN(Constants!$C$36,Constants!$C$34+P28*Constants!$C$35)</f>
        <v>0.126</v>
      </c>
      <c r="AC28" s="14">
        <f>Constants!$C$46/U28</f>
        <v>9.0909090909090917</v>
      </c>
      <c r="AD28" s="15" t="str">
        <f>IF(LEFT(C28,11)="Legionnaire",Constants!$C$40*0.5*MAX(0,1-(P28+Q28)/Constants!$C$41),"-")</f>
        <v>-</v>
      </c>
      <c r="AE28" s="9" t="str">
        <f>IF(D28="Enemy",ROUNDUP(O28/Constants!$C$42,0),"-")</f>
        <v>-</v>
      </c>
    </row>
    <row r="29" spans="1:31" x14ac:dyDescent="0.25">
      <c r="A29" s="9" t="str">
        <f t="shared" si="0"/>
        <v>antioch - Philip</v>
      </c>
      <c r="B29" s="17" t="s">
        <v>136</v>
      </c>
      <c r="C29" s="17" t="s">
        <v>137</v>
      </c>
      <c r="D29" s="17" t="s">
        <v>89</v>
      </c>
      <c r="E29" s="17" t="s">
        <v>116</v>
      </c>
      <c r="F29" s="17">
        <v>1</v>
      </c>
      <c r="G29" s="17"/>
      <c r="H29" s="17" t="s">
        <v>138</v>
      </c>
      <c r="I29" s="17">
        <v>10</v>
      </c>
      <c r="J29" s="17">
        <v>2</v>
      </c>
      <c r="K29" s="17">
        <v>1</v>
      </c>
      <c r="L29" s="17">
        <v>30</v>
      </c>
      <c r="M29" s="17">
        <v>32</v>
      </c>
      <c r="N29" s="17">
        <v>27</v>
      </c>
      <c r="O29" s="17">
        <v>138</v>
      </c>
      <c r="P29" s="17">
        <v>20</v>
      </c>
      <c r="Q29" s="17">
        <v>36</v>
      </c>
      <c r="R29" s="17">
        <v>31</v>
      </c>
      <c r="S29" s="9">
        <f>M29+IFERROR(INDEX('Level Growth'!$C$4:$C$12,MATCH(E29,'Level Growth'!$A$4:$A$12,0)),'Level Growth'!$C$12)*(F29-1)</f>
        <v>32</v>
      </c>
      <c r="T29" s="9">
        <f>N29+IFERROR(INDEX('Level Growth'!$D$4:$D$12,MATCH(E29,'Level Growth'!$A$4:$A$12,0)),'Level Growth'!$D$12)*(F29-1)</f>
        <v>27</v>
      </c>
      <c r="U29" s="9">
        <f>I29+INT(F29/Constants!$C$52)</f>
        <v>10</v>
      </c>
      <c r="V29" s="9">
        <f>J29+IF(G29="horse",Constants!$C$45,0)</f>
        <v>2</v>
      </c>
      <c r="W29" s="14">
        <f>(O29+S29)*Constants!$C$3*IF(E29="Missionary",Constants!$C$4,1)</f>
        <v>34</v>
      </c>
      <c r="X29" s="15">
        <f>MIN(Constants!$C$8,MAX(Constants!$C$7,Constants!$C$5+R29*Constants!$C$6))</f>
        <v>0.8600000000000001</v>
      </c>
      <c r="Y29" s="14">
        <f t="shared" si="1"/>
        <v>29.240000000000002</v>
      </c>
      <c r="Z29" s="15">
        <f>MIN(Constants!$C$16,MAX(Constants!$C$15,Constants!$C$13-T29*Constants!$C$17-IF(E29="Shieldbearer",Constants!$C$19,0)))</f>
        <v>0.79599999999999993</v>
      </c>
      <c r="AA29" s="15">
        <f>MIN(Constants!$C$24,Q29*Constants!$C$23)</f>
        <v>0.14400000000000002</v>
      </c>
      <c r="AB29" s="15">
        <f>MIN(Constants!$C$36,Constants!$C$34+P29*Constants!$C$35)</f>
        <v>0.13</v>
      </c>
      <c r="AC29" s="14">
        <f>Constants!$C$46/U29</f>
        <v>10</v>
      </c>
      <c r="AD29" s="15" t="str">
        <f>IF(LEFT(C29,11)="Legionnaire",Constants!$C$40*0.5*MAX(0,1-(P29+Q29)/Constants!$C$41),"-")</f>
        <v>-</v>
      </c>
      <c r="AE29" s="9" t="str">
        <f>IF(D29="Enemy",ROUNDUP(O29/Constants!$C$42,0),"-")</f>
        <v>-</v>
      </c>
    </row>
    <row r="30" spans="1:31" x14ac:dyDescent="0.25">
      <c r="A30" s="9" t="str">
        <f t="shared" si="0"/>
        <v>antioch - Timothy</v>
      </c>
      <c r="B30" s="17" t="s">
        <v>136</v>
      </c>
      <c r="C30" s="17" t="s">
        <v>139</v>
      </c>
      <c r="D30" s="17" t="s">
        <v>89</v>
      </c>
      <c r="E30" s="17" t="s">
        <v>116</v>
      </c>
      <c r="F30" s="17">
        <v>1</v>
      </c>
      <c r="G30" s="17"/>
      <c r="H30" s="17" t="s">
        <v>121</v>
      </c>
      <c r="I30" s="17">
        <v>11</v>
      </c>
      <c r="J30" s="17">
        <v>3</v>
      </c>
      <c r="K30" s="17">
        <v>1</v>
      </c>
      <c r="L30" s="17">
        <v>0</v>
      </c>
      <c r="M30" s="17">
        <v>14</v>
      </c>
      <c r="N30" s="17">
        <v>20</v>
      </c>
      <c r="O30" s="17">
        <v>128</v>
      </c>
      <c r="P30" s="17">
        <v>30</v>
      </c>
      <c r="Q30" s="17">
        <v>24</v>
      </c>
      <c r="R30" s="17">
        <v>30</v>
      </c>
      <c r="S30" s="9">
        <f>M30+IFERROR(INDEX('Level Growth'!$C$4:$C$12,MATCH(E30,'Level Growth'!$A$4:$A$12,0)),'Level Growth'!$C$12)*(F30-1)</f>
        <v>14</v>
      </c>
      <c r="T30" s="9">
        <f>N30+IFERROR(INDEX('Level Growth'!$D$4:$D$12,MATCH(E30,'Level Growth'!$A$4:$A$12,0)),'Level Growth'!$D$12)*(F30-1)</f>
        <v>20</v>
      </c>
      <c r="U30" s="9">
        <f>I30+INT(F30/Constants!$C$52)</f>
        <v>11</v>
      </c>
      <c r="V30" s="9">
        <f>J30+IF(G30="horse",Constants!$C$45,0)</f>
        <v>3</v>
      </c>
      <c r="W30" s="14">
        <f>(O30+S30)*Constants!$C$3*IF(E30="Missionary",Constants!$C$4,1)</f>
        <v>28.400000000000002</v>
      </c>
      <c r="X30" s="15">
        <f>MIN(Constants!$C$8,MAX(Constants!$C$7,Constants!$C$5+R30*Constants!$C$6))</f>
        <v>0.85000000000000009</v>
      </c>
      <c r="Y30" s="14">
        <f t="shared" si="1"/>
        <v>24.140000000000004</v>
      </c>
      <c r="Z30" s="15">
        <f>MIN(Constants!$C$16,MAX(Constants!$C$15,Constants!$C$13-T30*Constants!$C$17-IF(E30="Shieldbearer",Constants!$C$19,0)))</f>
        <v>0.80999999999999994</v>
      </c>
      <c r="AA30" s="15">
        <f>MIN(Constants!$C$24,Q30*Constants!$C$23)</f>
        <v>9.6000000000000002E-2</v>
      </c>
      <c r="AB30" s="15">
        <f>MIN(Constants!$C$36,Constants!$C$34+P30*Constants!$C$35)</f>
        <v>0.16999999999999998</v>
      </c>
      <c r="AC30" s="14">
        <f>Constants!$C$46/U30</f>
        <v>9.0909090909090917</v>
      </c>
      <c r="AD30" s="15" t="str">
        <f>IF(LEFT(C30,11)="Legionnaire",Constants!$C$40*0.5*MAX(0,1-(P30+Q30)/Constants!$C$41),"-")</f>
        <v>-</v>
      </c>
      <c r="AE30" s="9" t="str">
        <f>IF(D30="Enemy",ROUNDUP(O30/Constants!$C$42,0),"-")</f>
        <v>-</v>
      </c>
    </row>
    <row r="31" spans="1:31" x14ac:dyDescent="0.25">
      <c r="A31" s="9" t="str">
        <f t="shared" si="0"/>
        <v>antioch - Luke</v>
      </c>
      <c r="B31" s="17" t="s">
        <v>136</v>
      </c>
      <c r="C31" s="17" t="s">
        <v>140</v>
      </c>
      <c r="D31" s="17" t="s">
        <v>89</v>
      </c>
      <c r="E31" s="17" t="s">
        <v>116</v>
      </c>
      <c r="F31" s="17">
        <v>1</v>
      </c>
      <c r="G31" s="17"/>
      <c r="H31" s="17" t="s">
        <v>105</v>
      </c>
      <c r="I31" s="17">
        <v>10</v>
      </c>
      <c r="J31" s="17">
        <v>2</v>
      </c>
      <c r="K31" s="17">
        <v>1</v>
      </c>
      <c r="L31" s="17">
        <v>25</v>
      </c>
      <c r="M31" s="17">
        <v>38</v>
      </c>
      <c r="N31" s="17">
        <v>32</v>
      </c>
      <c r="O31" s="17">
        <v>120</v>
      </c>
      <c r="P31" s="17">
        <v>41</v>
      </c>
      <c r="Q31" s="17">
        <v>32</v>
      </c>
      <c r="R31" s="17">
        <v>28</v>
      </c>
      <c r="S31" s="9">
        <f>M31+IFERROR(INDEX('Level Growth'!$C$4:$C$12,MATCH(E31,'Level Growth'!$A$4:$A$12,0)),'Level Growth'!$C$12)*(F31-1)</f>
        <v>38</v>
      </c>
      <c r="T31" s="9">
        <f>N31+IFERROR(INDEX('Level Growth'!$D$4:$D$12,MATCH(E31,'Level Growth'!$A$4:$A$12,0)),'Level Growth'!$D$12)*(F31-1)</f>
        <v>32</v>
      </c>
      <c r="U31" s="9">
        <f>I31+INT(F31/Constants!$C$52)</f>
        <v>10</v>
      </c>
      <c r="V31" s="9">
        <f>J31+IF(G31="horse",Constants!$C$45,0)</f>
        <v>2</v>
      </c>
      <c r="W31" s="14">
        <f>(O31+S31)*Constants!$C$3*IF(E31="Missionary",Constants!$C$4,1)</f>
        <v>31.6</v>
      </c>
      <c r="X31" s="15">
        <f>MIN(Constants!$C$8,MAX(Constants!$C$7,Constants!$C$5+R31*Constants!$C$6))</f>
        <v>0.83000000000000007</v>
      </c>
      <c r="Y31" s="14">
        <f t="shared" si="1"/>
        <v>26.228000000000005</v>
      </c>
      <c r="Z31" s="15">
        <f>MIN(Constants!$C$16,MAX(Constants!$C$15,Constants!$C$13-T31*Constants!$C$17-IF(E31="Shieldbearer",Constants!$C$19,0)))</f>
        <v>0.78600000000000003</v>
      </c>
      <c r="AA31" s="15">
        <f>MIN(Constants!$C$24,Q31*Constants!$C$23)</f>
        <v>0.128</v>
      </c>
      <c r="AB31" s="15">
        <f>MIN(Constants!$C$36,Constants!$C$34+P31*Constants!$C$35)</f>
        <v>0.21400000000000002</v>
      </c>
      <c r="AC31" s="14">
        <f>Constants!$C$46/U31</f>
        <v>10</v>
      </c>
      <c r="AD31" s="15" t="str">
        <f>IF(LEFT(C31,11)="Legionnaire",Constants!$C$40*0.5*MAX(0,1-(P31+Q31)/Constants!$C$41),"-")</f>
        <v>-</v>
      </c>
      <c r="AE31" s="9" t="str">
        <f>IF(D31="Enemy",ROUNDUP(O31/Constants!$C$42,0),"-")</f>
        <v>-</v>
      </c>
    </row>
    <row r="32" spans="1:31" x14ac:dyDescent="0.25">
      <c r="A32" s="9" t="str">
        <f t="shared" si="0"/>
        <v>antioch - Titus</v>
      </c>
      <c r="B32" s="17" t="s">
        <v>136</v>
      </c>
      <c r="C32" s="17" t="s">
        <v>141</v>
      </c>
      <c r="D32" s="17" t="s">
        <v>89</v>
      </c>
      <c r="E32" s="17" t="s">
        <v>116</v>
      </c>
      <c r="F32" s="17">
        <v>1</v>
      </c>
      <c r="G32" s="17"/>
      <c r="H32" s="17" t="s">
        <v>138</v>
      </c>
      <c r="I32" s="17">
        <v>12</v>
      </c>
      <c r="J32" s="17">
        <v>3</v>
      </c>
      <c r="K32" s="17">
        <v>1</v>
      </c>
      <c r="L32" s="17">
        <v>0</v>
      </c>
      <c r="M32" s="17">
        <v>22</v>
      </c>
      <c r="N32" s="17">
        <v>14</v>
      </c>
      <c r="O32" s="17">
        <v>132</v>
      </c>
      <c r="P32" s="17">
        <v>16</v>
      </c>
      <c r="Q32" s="17">
        <v>25</v>
      </c>
      <c r="R32" s="17">
        <v>27</v>
      </c>
      <c r="S32" s="9">
        <f>M32+IFERROR(INDEX('Level Growth'!$C$4:$C$12,MATCH(E32,'Level Growth'!$A$4:$A$12,0)),'Level Growth'!$C$12)*(F32-1)</f>
        <v>22</v>
      </c>
      <c r="T32" s="9">
        <f>N32+IFERROR(INDEX('Level Growth'!$D$4:$D$12,MATCH(E32,'Level Growth'!$A$4:$A$12,0)),'Level Growth'!$D$12)*(F32-1)</f>
        <v>14</v>
      </c>
      <c r="U32" s="9">
        <f>I32+INT(F32/Constants!$C$52)</f>
        <v>12</v>
      </c>
      <c r="V32" s="9">
        <f>J32+IF(G32="horse",Constants!$C$45,0)</f>
        <v>3</v>
      </c>
      <c r="W32" s="14">
        <f>(O32+S32)*Constants!$C$3*IF(E32="Missionary",Constants!$C$4,1)</f>
        <v>30.8</v>
      </c>
      <c r="X32" s="15">
        <f>MIN(Constants!$C$8,MAX(Constants!$C$7,Constants!$C$5+R32*Constants!$C$6))</f>
        <v>0.82000000000000006</v>
      </c>
      <c r="Y32" s="14">
        <f t="shared" si="1"/>
        <v>25.256000000000004</v>
      </c>
      <c r="Z32" s="15">
        <f>MIN(Constants!$C$16,MAX(Constants!$C$15,Constants!$C$13-T32*Constants!$C$17-IF(E32="Shieldbearer",Constants!$C$19,0)))</f>
        <v>0.82199999999999995</v>
      </c>
      <c r="AA32" s="15">
        <f>MIN(Constants!$C$24,Q32*Constants!$C$23)</f>
        <v>0.1</v>
      </c>
      <c r="AB32" s="15">
        <f>MIN(Constants!$C$36,Constants!$C$34+P32*Constants!$C$35)</f>
        <v>0.114</v>
      </c>
      <c r="AC32" s="14">
        <f>Constants!$C$46/U32</f>
        <v>8.3333333333333339</v>
      </c>
      <c r="AD32" s="15" t="str">
        <f>IF(LEFT(C32,11)="Legionnaire",Constants!$C$40*0.5*MAX(0,1-(P32+Q32)/Constants!$C$41),"-")</f>
        <v>-</v>
      </c>
      <c r="AE32" s="9" t="str">
        <f>IF(D32="Enemy",ROUNDUP(O32/Constants!$C$42,0),"-")</f>
        <v>-</v>
      </c>
    </row>
    <row r="33" spans="1:31" x14ac:dyDescent="0.25">
      <c r="A33" s="9" t="str">
        <f t="shared" si="0"/>
        <v>antioch - Silas</v>
      </c>
      <c r="B33" s="17" t="s">
        <v>136</v>
      </c>
      <c r="C33" s="17" t="s">
        <v>142</v>
      </c>
      <c r="D33" s="17" t="s">
        <v>89</v>
      </c>
      <c r="E33" s="17" t="s">
        <v>116</v>
      </c>
      <c r="F33" s="17">
        <v>1</v>
      </c>
      <c r="G33" s="17"/>
      <c r="H33" s="17" t="s">
        <v>111</v>
      </c>
      <c r="I33" s="17">
        <v>11</v>
      </c>
      <c r="J33" s="17">
        <v>3</v>
      </c>
      <c r="K33" s="17">
        <v>1</v>
      </c>
      <c r="L33" s="17">
        <v>0</v>
      </c>
      <c r="M33" s="17">
        <v>15</v>
      </c>
      <c r="N33" s="17">
        <v>20</v>
      </c>
      <c r="O33" s="17">
        <v>119</v>
      </c>
      <c r="P33" s="17">
        <v>29</v>
      </c>
      <c r="Q33" s="17">
        <v>32</v>
      </c>
      <c r="R33" s="17">
        <v>25</v>
      </c>
      <c r="S33" s="9">
        <f>M33+IFERROR(INDEX('Level Growth'!$C$4:$C$12,MATCH(E33,'Level Growth'!$A$4:$A$12,0)),'Level Growth'!$C$12)*(F33-1)</f>
        <v>15</v>
      </c>
      <c r="T33" s="9">
        <f>N33+IFERROR(INDEX('Level Growth'!$D$4:$D$12,MATCH(E33,'Level Growth'!$A$4:$A$12,0)),'Level Growth'!$D$12)*(F33-1)</f>
        <v>20</v>
      </c>
      <c r="U33" s="9">
        <f>I33+INT(F33/Constants!$C$52)</f>
        <v>11</v>
      </c>
      <c r="V33" s="9">
        <f>J33+IF(G33="horse",Constants!$C$45,0)</f>
        <v>3</v>
      </c>
      <c r="W33" s="14">
        <f>(O33+S33)*Constants!$C$3*IF(E33="Missionary",Constants!$C$4,1)</f>
        <v>26.8</v>
      </c>
      <c r="X33" s="15">
        <f>MIN(Constants!$C$8,MAX(Constants!$C$7,Constants!$C$5+R33*Constants!$C$6))</f>
        <v>0.8</v>
      </c>
      <c r="Y33" s="14">
        <f t="shared" si="1"/>
        <v>21.44</v>
      </c>
      <c r="Z33" s="15">
        <f>MIN(Constants!$C$16,MAX(Constants!$C$15,Constants!$C$13-T33*Constants!$C$17-IF(E33="Shieldbearer",Constants!$C$19,0)))</f>
        <v>0.80999999999999994</v>
      </c>
      <c r="AA33" s="15">
        <f>MIN(Constants!$C$24,Q33*Constants!$C$23)</f>
        <v>0.128</v>
      </c>
      <c r="AB33" s="15">
        <f>MIN(Constants!$C$36,Constants!$C$34+P33*Constants!$C$35)</f>
        <v>0.16600000000000001</v>
      </c>
      <c r="AC33" s="14">
        <f>Constants!$C$46/U33</f>
        <v>9.0909090909090917</v>
      </c>
      <c r="AD33" s="15" t="str">
        <f>IF(LEFT(C33,11)="Legionnaire",Constants!$C$40*0.5*MAX(0,1-(P33+Q33)/Constants!$C$41),"-")</f>
        <v>-</v>
      </c>
      <c r="AE33" s="9" t="str">
        <f>IF(D33="Enemy",ROUNDUP(O33/Constants!$C$42,0),"-")</f>
        <v>-</v>
      </c>
    </row>
    <row r="34" spans="1:31" x14ac:dyDescent="0.25">
      <c r="A34" s="9" t="str">
        <f t="shared" ref="A34:A65" si="2">B34&amp;" - "&amp;C34</f>
        <v>antioch - Priscilla</v>
      </c>
      <c r="B34" s="17" t="s">
        <v>136</v>
      </c>
      <c r="C34" s="17" t="s">
        <v>143</v>
      </c>
      <c r="D34" s="17" t="s">
        <v>89</v>
      </c>
      <c r="E34" s="17" t="s">
        <v>116</v>
      </c>
      <c r="F34" s="17">
        <v>1</v>
      </c>
      <c r="G34" s="17"/>
      <c r="H34" s="17" t="s">
        <v>138</v>
      </c>
      <c r="I34" s="17">
        <v>10</v>
      </c>
      <c r="J34" s="17">
        <v>2</v>
      </c>
      <c r="K34" s="17">
        <v>1</v>
      </c>
      <c r="L34" s="17">
        <v>20</v>
      </c>
      <c r="M34" s="17">
        <v>36</v>
      </c>
      <c r="N34" s="17">
        <v>36</v>
      </c>
      <c r="O34" s="17">
        <v>130</v>
      </c>
      <c r="P34" s="17">
        <v>30</v>
      </c>
      <c r="Q34" s="17">
        <v>36</v>
      </c>
      <c r="R34" s="17">
        <v>31</v>
      </c>
      <c r="S34" s="9">
        <f>M34+IFERROR(INDEX('Level Growth'!$C$4:$C$12,MATCH(E34,'Level Growth'!$A$4:$A$12,0)),'Level Growth'!$C$12)*(F34-1)</f>
        <v>36</v>
      </c>
      <c r="T34" s="9">
        <f>N34+IFERROR(INDEX('Level Growth'!$D$4:$D$12,MATCH(E34,'Level Growth'!$A$4:$A$12,0)),'Level Growth'!$D$12)*(F34-1)</f>
        <v>36</v>
      </c>
      <c r="U34" s="9">
        <f>I34+INT(F34/Constants!$C$52)</f>
        <v>10</v>
      </c>
      <c r="V34" s="9">
        <f>J34+IF(G34="horse",Constants!$C$45,0)</f>
        <v>2</v>
      </c>
      <c r="W34" s="14">
        <f>(O34+S34)*Constants!$C$3*IF(E34="Missionary",Constants!$C$4,1)</f>
        <v>33.200000000000003</v>
      </c>
      <c r="X34" s="15">
        <f>MIN(Constants!$C$8,MAX(Constants!$C$7,Constants!$C$5+R34*Constants!$C$6))</f>
        <v>0.8600000000000001</v>
      </c>
      <c r="Y34" s="14">
        <f t="shared" ref="Y34:Y65" si="3">W34*X34</f>
        <v>28.552000000000007</v>
      </c>
      <c r="Z34" s="15">
        <f>MIN(Constants!$C$16,MAX(Constants!$C$15,Constants!$C$13-T34*Constants!$C$17-IF(E34="Shieldbearer",Constants!$C$19,0)))</f>
        <v>0.77800000000000002</v>
      </c>
      <c r="AA34" s="15">
        <f>MIN(Constants!$C$24,Q34*Constants!$C$23)</f>
        <v>0.14400000000000002</v>
      </c>
      <c r="AB34" s="15">
        <f>MIN(Constants!$C$36,Constants!$C$34+P34*Constants!$C$35)</f>
        <v>0.16999999999999998</v>
      </c>
      <c r="AC34" s="14">
        <f>Constants!$C$46/U34</f>
        <v>10</v>
      </c>
      <c r="AD34" s="15" t="str">
        <f>IF(LEFT(C34,11)="Legionnaire",Constants!$C$40*0.5*MAX(0,1-(P34+Q34)/Constants!$C$41),"-")</f>
        <v>-</v>
      </c>
      <c r="AE34" s="9" t="str">
        <f>IF(D34="Enemy",ROUNDUP(O34/Constants!$C$42,0),"-")</f>
        <v>-</v>
      </c>
    </row>
    <row r="35" spans="1:31" x14ac:dyDescent="0.25">
      <c r="A35" s="9" t="str">
        <f t="shared" si="2"/>
        <v>antioch - Aquila</v>
      </c>
      <c r="B35" s="17" t="s">
        <v>136</v>
      </c>
      <c r="C35" s="17" t="s">
        <v>144</v>
      </c>
      <c r="D35" s="17" t="s">
        <v>89</v>
      </c>
      <c r="E35" s="17" t="s">
        <v>116</v>
      </c>
      <c r="F35" s="17">
        <v>1</v>
      </c>
      <c r="G35" s="17"/>
      <c r="H35" s="17" t="s">
        <v>121</v>
      </c>
      <c r="I35" s="17">
        <v>11</v>
      </c>
      <c r="J35" s="17">
        <v>3</v>
      </c>
      <c r="K35" s="17">
        <v>1</v>
      </c>
      <c r="L35" s="17">
        <v>0</v>
      </c>
      <c r="M35" s="17">
        <v>8</v>
      </c>
      <c r="N35" s="17">
        <v>14</v>
      </c>
      <c r="O35" s="17">
        <v>127</v>
      </c>
      <c r="P35" s="17">
        <v>16</v>
      </c>
      <c r="Q35" s="17">
        <v>19</v>
      </c>
      <c r="R35" s="17">
        <v>4</v>
      </c>
      <c r="S35" s="9">
        <f>M35+IFERROR(INDEX('Level Growth'!$C$4:$C$12,MATCH(E35,'Level Growth'!$A$4:$A$12,0)),'Level Growth'!$C$12)*(F35-1)</f>
        <v>8</v>
      </c>
      <c r="T35" s="9">
        <f>N35+IFERROR(INDEX('Level Growth'!$D$4:$D$12,MATCH(E35,'Level Growth'!$A$4:$A$12,0)),'Level Growth'!$D$12)*(F35-1)</f>
        <v>14</v>
      </c>
      <c r="U35" s="9">
        <f>I35+INT(F35/Constants!$C$52)</f>
        <v>11</v>
      </c>
      <c r="V35" s="9">
        <f>J35+IF(G35="horse",Constants!$C$45,0)</f>
        <v>3</v>
      </c>
      <c r="W35" s="14">
        <f>(O35+S35)*Constants!$C$3*IF(E35="Missionary",Constants!$C$4,1)</f>
        <v>27</v>
      </c>
      <c r="X35" s="15">
        <f>MIN(Constants!$C$8,MAX(Constants!$C$7,Constants!$C$5+R35*Constants!$C$6))</f>
        <v>0.59000000000000008</v>
      </c>
      <c r="Y35" s="14">
        <f t="shared" si="3"/>
        <v>15.930000000000001</v>
      </c>
      <c r="Z35" s="15">
        <f>MIN(Constants!$C$16,MAX(Constants!$C$15,Constants!$C$13-T35*Constants!$C$17-IF(E35="Shieldbearer",Constants!$C$19,0)))</f>
        <v>0.82199999999999995</v>
      </c>
      <c r="AA35" s="15">
        <f>MIN(Constants!$C$24,Q35*Constants!$C$23)</f>
        <v>7.5999999999999998E-2</v>
      </c>
      <c r="AB35" s="15">
        <f>MIN(Constants!$C$36,Constants!$C$34+P35*Constants!$C$35)</f>
        <v>0.114</v>
      </c>
      <c r="AC35" s="14">
        <f>Constants!$C$46/U35</f>
        <v>9.0909090909090917</v>
      </c>
      <c r="AD35" s="15" t="str">
        <f>IF(LEFT(C35,11)="Legionnaire",Constants!$C$40*0.5*MAX(0,1-(P35+Q35)/Constants!$C$41),"-")</f>
        <v>-</v>
      </c>
      <c r="AE35" s="9" t="str">
        <f>IF(D35="Enemy",ROUNDUP(O35/Constants!$C$42,0),"-")</f>
        <v>-</v>
      </c>
    </row>
    <row r="36" spans="1:31" x14ac:dyDescent="0.25">
      <c r="A36" s="9" t="str">
        <f t="shared" si="2"/>
        <v>antioch - Legionnaire Shieldbearer 1</v>
      </c>
      <c r="B36" s="17" t="s">
        <v>136</v>
      </c>
      <c r="C36" s="17" t="s">
        <v>124</v>
      </c>
      <c r="D36" s="17" t="s">
        <v>103</v>
      </c>
      <c r="E36" s="17" t="s">
        <v>125</v>
      </c>
      <c r="F36" s="17">
        <v>2</v>
      </c>
      <c r="G36" s="17"/>
      <c r="H36" s="17" t="s">
        <v>126</v>
      </c>
      <c r="I36" s="17">
        <v>10</v>
      </c>
      <c r="J36" s="17">
        <v>3</v>
      </c>
      <c r="K36" s="17">
        <v>1</v>
      </c>
      <c r="L36" s="17">
        <v>0</v>
      </c>
      <c r="M36" s="17">
        <v>16</v>
      </c>
      <c r="N36" s="17">
        <v>20</v>
      </c>
      <c r="O36" s="17">
        <v>100</v>
      </c>
      <c r="P36" s="17">
        <v>22</v>
      </c>
      <c r="Q36" s="17">
        <v>19</v>
      </c>
      <c r="R36" s="17">
        <v>20</v>
      </c>
      <c r="S36" s="9">
        <f>M36+IFERROR(INDEX('Level Growth'!$C$4:$C$12,MATCH(E36,'Level Growth'!$A$4:$A$12,0)),'Level Growth'!$C$12)*(F36-1)</f>
        <v>16</v>
      </c>
      <c r="T36" s="9">
        <f>N36+IFERROR(INDEX('Level Growth'!$D$4:$D$12,MATCH(E36,'Level Growth'!$A$4:$A$12,0)),'Level Growth'!$D$12)*(F36-1)</f>
        <v>23</v>
      </c>
      <c r="U36" s="9">
        <f>I36+INT(F36/Constants!$C$52)</f>
        <v>10</v>
      </c>
      <c r="V36" s="9">
        <f>J36+IF(G36="horse",Constants!$C$45,0)</f>
        <v>3</v>
      </c>
      <c r="W36" s="14">
        <f>(O36+S36)*Constants!$C$3*IF(E36="Missionary",Constants!$C$4,1)</f>
        <v>23.200000000000003</v>
      </c>
      <c r="X36" s="15">
        <f>MIN(Constants!$C$8,MAX(Constants!$C$7,Constants!$C$5+R36*Constants!$C$6))</f>
        <v>0.75</v>
      </c>
      <c r="Y36" s="14">
        <f t="shared" si="3"/>
        <v>17.400000000000002</v>
      </c>
      <c r="Z36" s="15">
        <f>MIN(Constants!$C$16,MAX(Constants!$C$15,Constants!$C$13-T36*Constants!$C$17-IF(E36="Shieldbearer",Constants!$C$19,0)))</f>
        <v>0.65399999999999991</v>
      </c>
      <c r="AA36" s="15">
        <f>MIN(Constants!$C$24,Q36*Constants!$C$23)</f>
        <v>7.5999999999999998E-2</v>
      </c>
      <c r="AB36" s="15">
        <f>MIN(Constants!$C$36,Constants!$C$34+P36*Constants!$C$35)</f>
        <v>0.13800000000000001</v>
      </c>
      <c r="AC36" s="14">
        <f>Constants!$C$46/U36</f>
        <v>10</v>
      </c>
      <c r="AD36" s="15">
        <f>IF(LEFT(C36,11)="Legionnaire",Constants!$C$40*0.5*MAX(0,1-(P36+Q36)/Constants!$C$41),"-")</f>
        <v>0.218</v>
      </c>
      <c r="AE36" s="9">
        <f>IF(D36="Enemy",ROUNDUP(O36/Constants!$C$42,0),"-")</f>
        <v>10</v>
      </c>
    </row>
    <row r="37" spans="1:31" x14ac:dyDescent="0.25">
      <c r="A37" s="9" t="str">
        <f t="shared" si="2"/>
        <v>antioch - Legionnaire Archer 1</v>
      </c>
      <c r="B37" s="17" t="s">
        <v>136</v>
      </c>
      <c r="C37" s="17" t="s">
        <v>127</v>
      </c>
      <c r="D37" s="17" t="s">
        <v>103</v>
      </c>
      <c r="E37" s="17" t="s">
        <v>128</v>
      </c>
      <c r="F37" s="17">
        <v>2</v>
      </c>
      <c r="G37" s="17"/>
      <c r="H37" s="17" t="s">
        <v>129</v>
      </c>
      <c r="I37" s="17">
        <v>10</v>
      </c>
      <c r="J37" s="17">
        <v>3</v>
      </c>
      <c r="K37" s="17">
        <v>1</v>
      </c>
      <c r="L37" s="17">
        <v>0</v>
      </c>
      <c r="M37" s="17">
        <v>20</v>
      </c>
      <c r="N37" s="17">
        <v>24</v>
      </c>
      <c r="O37" s="17">
        <v>100</v>
      </c>
      <c r="P37" s="17">
        <v>25</v>
      </c>
      <c r="Q37" s="17">
        <v>21</v>
      </c>
      <c r="R37" s="17">
        <v>16</v>
      </c>
      <c r="S37" s="9">
        <f>M37+IFERROR(INDEX('Level Growth'!$C$4:$C$12,MATCH(E37,'Level Growth'!$A$4:$A$12,0)),'Level Growth'!$C$12)*(F37-1)</f>
        <v>21</v>
      </c>
      <c r="T37" s="9">
        <f>N37+IFERROR(INDEX('Level Growth'!$D$4:$D$12,MATCH(E37,'Level Growth'!$A$4:$A$12,0)),'Level Growth'!$D$12)*(F37-1)</f>
        <v>25</v>
      </c>
      <c r="U37" s="9">
        <f>I37+INT(F37/Constants!$C$52)</f>
        <v>10</v>
      </c>
      <c r="V37" s="9">
        <f>J37+IF(G37="horse",Constants!$C$45,0)</f>
        <v>3</v>
      </c>
      <c r="W37" s="14">
        <f>(O37+S37)*Constants!$C$3*IF(E37="Missionary",Constants!$C$4,1)</f>
        <v>24.200000000000003</v>
      </c>
      <c r="X37" s="15">
        <f>MIN(Constants!$C$8,MAX(Constants!$C$7,Constants!$C$5+R37*Constants!$C$6))</f>
        <v>0.71000000000000008</v>
      </c>
      <c r="Y37" s="14">
        <f t="shared" si="3"/>
        <v>17.182000000000002</v>
      </c>
      <c r="Z37" s="15">
        <f>MIN(Constants!$C$16,MAX(Constants!$C$15,Constants!$C$13-T37*Constants!$C$17-IF(E37="Shieldbearer",Constants!$C$19,0)))</f>
        <v>0.79999999999999993</v>
      </c>
      <c r="AA37" s="15">
        <f>MIN(Constants!$C$24,Q37*Constants!$C$23)</f>
        <v>8.4000000000000005E-2</v>
      </c>
      <c r="AB37" s="15">
        <f>MIN(Constants!$C$36,Constants!$C$34+P37*Constants!$C$35)</f>
        <v>0.15000000000000002</v>
      </c>
      <c r="AC37" s="14">
        <f>Constants!$C$46/U37</f>
        <v>10</v>
      </c>
      <c r="AD37" s="15">
        <f>IF(LEFT(C37,11)="Legionnaire",Constants!$C$40*0.5*MAX(0,1-(P37+Q37)/Constants!$C$41),"-")</f>
        <v>0.20799999999999999</v>
      </c>
      <c r="AE37" s="9">
        <f>IF(D37="Enemy",ROUNDUP(O37/Constants!$C$42,0),"-")</f>
        <v>10</v>
      </c>
    </row>
    <row r="38" spans="1:31" x14ac:dyDescent="0.25">
      <c r="A38" s="9" t="str">
        <f t="shared" si="2"/>
        <v>antioch - Legionnaire Medic 1</v>
      </c>
      <c r="B38" s="17" t="s">
        <v>136</v>
      </c>
      <c r="C38" s="17" t="s">
        <v>130</v>
      </c>
      <c r="D38" s="17" t="s">
        <v>103</v>
      </c>
      <c r="E38" s="17" t="s">
        <v>131</v>
      </c>
      <c r="F38" s="17">
        <v>2</v>
      </c>
      <c r="G38" s="17"/>
      <c r="H38" s="17" t="s">
        <v>132</v>
      </c>
      <c r="I38" s="17">
        <v>11</v>
      </c>
      <c r="J38" s="17">
        <v>3</v>
      </c>
      <c r="K38" s="17">
        <v>1</v>
      </c>
      <c r="L38" s="17">
        <v>0</v>
      </c>
      <c r="M38" s="17">
        <v>14</v>
      </c>
      <c r="N38" s="17">
        <v>18</v>
      </c>
      <c r="O38" s="17">
        <v>100</v>
      </c>
      <c r="P38" s="17">
        <v>28</v>
      </c>
      <c r="Q38" s="17">
        <v>15</v>
      </c>
      <c r="R38" s="17">
        <v>24</v>
      </c>
      <c r="S38" s="9">
        <f>M38+IFERROR(INDEX('Level Growth'!$C$4:$C$12,MATCH(E38,'Level Growth'!$A$4:$A$12,0)),'Level Growth'!$C$12)*(F38-1)</f>
        <v>16</v>
      </c>
      <c r="T38" s="9">
        <f>N38+IFERROR(INDEX('Level Growth'!$D$4:$D$12,MATCH(E38,'Level Growth'!$A$4:$A$12,0)),'Level Growth'!$D$12)*(F38-1)</f>
        <v>19</v>
      </c>
      <c r="U38" s="9">
        <f>I38+INT(F38/Constants!$C$52)</f>
        <v>11</v>
      </c>
      <c r="V38" s="9">
        <f>J38+IF(G38="horse",Constants!$C$45,0)</f>
        <v>3</v>
      </c>
      <c r="W38" s="14">
        <f>(O38+S38)*Constants!$C$3*IF(E38="Missionary",Constants!$C$4,1)</f>
        <v>23.200000000000003</v>
      </c>
      <c r="X38" s="15">
        <f>MIN(Constants!$C$8,MAX(Constants!$C$7,Constants!$C$5+R38*Constants!$C$6))</f>
        <v>0.79</v>
      </c>
      <c r="Y38" s="14">
        <f t="shared" si="3"/>
        <v>18.328000000000003</v>
      </c>
      <c r="Z38" s="15">
        <f>MIN(Constants!$C$16,MAX(Constants!$C$15,Constants!$C$13-T38*Constants!$C$17-IF(E38="Shieldbearer",Constants!$C$19,0)))</f>
        <v>0.81199999999999994</v>
      </c>
      <c r="AA38" s="15">
        <f>MIN(Constants!$C$24,Q38*Constants!$C$23)</f>
        <v>0.06</v>
      </c>
      <c r="AB38" s="15">
        <f>MIN(Constants!$C$36,Constants!$C$34+P38*Constants!$C$35)</f>
        <v>0.16200000000000001</v>
      </c>
      <c r="AC38" s="14">
        <f>Constants!$C$46/U38</f>
        <v>9.0909090909090917</v>
      </c>
      <c r="AD38" s="15">
        <f>IF(LEFT(C38,11)="Legionnaire",Constants!$C$40*0.5*MAX(0,1-(P38+Q38)/Constants!$C$41),"-")</f>
        <v>0.214</v>
      </c>
      <c r="AE38" s="9">
        <f>IF(D38="Enemy",ROUNDUP(O38/Constants!$C$42,0),"-")</f>
        <v>10</v>
      </c>
    </row>
    <row r="39" spans="1:31" x14ac:dyDescent="0.25">
      <c r="A39" s="9" t="str">
        <f t="shared" si="2"/>
        <v>philippi - Paul</v>
      </c>
      <c r="B39" s="17" t="s">
        <v>145</v>
      </c>
      <c r="C39" s="17" t="s">
        <v>88</v>
      </c>
      <c r="D39" s="17" t="s">
        <v>89</v>
      </c>
      <c r="E39" s="17" t="s">
        <v>90</v>
      </c>
      <c r="F39" s="17">
        <v>1</v>
      </c>
      <c r="G39" s="17"/>
      <c r="H39" s="17" t="s">
        <v>114</v>
      </c>
      <c r="I39" s="17">
        <v>15</v>
      </c>
      <c r="J39" s="17">
        <v>4</v>
      </c>
      <c r="K39" s="17">
        <v>2</v>
      </c>
      <c r="L39" s="17">
        <v>100</v>
      </c>
      <c r="M39" s="17">
        <v>25</v>
      </c>
      <c r="N39" s="17">
        <v>6</v>
      </c>
      <c r="O39" s="17">
        <v>129</v>
      </c>
      <c r="P39" s="17">
        <v>24</v>
      </c>
      <c r="Q39" s="17">
        <v>3</v>
      </c>
      <c r="R39" s="17">
        <v>20</v>
      </c>
      <c r="S39" s="9">
        <f>M39+IFERROR(INDEX('Level Growth'!$C$4:$C$12,MATCH(E39,'Level Growth'!$A$4:$A$12,0)),'Level Growth'!$C$12)*(F39-1)</f>
        <v>25</v>
      </c>
      <c r="T39" s="9">
        <f>N39+IFERROR(INDEX('Level Growth'!$D$4:$D$12,MATCH(E39,'Level Growth'!$A$4:$A$12,0)),'Level Growth'!$D$12)*(F39-1)</f>
        <v>6</v>
      </c>
      <c r="U39" s="9">
        <f>I39+INT(F39/Constants!$C$52)</f>
        <v>15</v>
      </c>
      <c r="V39" s="9">
        <f>J39+IF(G39="horse",Constants!$C$45,0)</f>
        <v>4</v>
      </c>
      <c r="W39" s="14">
        <f>(O39+S39)*Constants!$C$3*IF(E39="Missionary",Constants!$C$4,1)</f>
        <v>46.2</v>
      </c>
      <c r="X39" s="15">
        <f>MIN(Constants!$C$8,MAX(Constants!$C$7,Constants!$C$5+R39*Constants!$C$6))</f>
        <v>0.75</v>
      </c>
      <c r="Y39" s="14">
        <f t="shared" si="3"/>
        <v>34.650000000000006</v>
      </c>
      <c r="Z39" s="15">
        <f>MIN(Constants!$C$16,MAX(Constants!$C$15,Constants!$C$13-T39*Constants!$C$17-IF(E39="Shieldbearer",Constants!$C$19,0)))</f>
        <v>0.83799999999999997</v>
      </c>
      <c r="AA39" s="15">
        <f>MIN(Constants!$C$24,Q39*Constants!$C$23)</f>
        <v>1.2E-2</v>
      </c>
      <c r="AB39" s="15">
        <f>MIN(Constants!$C$36,Constants!$C$34+P39*Constants!$C$35)</f>
        <v>0.14600000000000002</v>
      </c>
      <c r="AC39" s="14">
        <f>Constants!$C$46/U39</f>
        <v>6.666666666666667</v>
      </c>
      <c r="AD39" s="15" t="str">
        <f>IF(LEFT(C39,11)="Legionnaire",Constants!$C$40*0.5*MAX(0,1-(P39+Q39)/Constants!$C$41),"-")</f>
        <v>-</v>
      </c>
      <c r="AE39" s="9" t="str">
        <f>IF(D39="Enemy",ROUNDUP(O39/Constants!$C$42,0),"-")</f>
        <v>-</v>
      </c>
    </row>
    <row r="40" spans="1:31" x14ac:dyDescent="0.25">
      <c r="A40" s="9" t="str">
        <f t="shared" si="2"/>
        <v>philippi - Peter</v>
      </c>
      <c r="B40" s="17" t="s">
        <v>145</v>
      </c>
      <c r="C40" s="17" t="s">
        <v>115</v>
      </c>
      <c r="D40" s="17" t="s">
        <v>89</v>
      </c>
      <c r="E40" s="17" t="s">
        <v>116</v>
      </c>
      <c r="F40" s="17">
        <v>1</v>
      </c>
      <c r="G40" s="17"/>
      <c r="H40" s="17" t="s">
        <v>117</v>
      </c>
      <c r="I40" s="17">
        <v>12</v>
      </c>
      <c r="J40" s="17">
        <v>3</v>
      </c>
      <c r="K40" s="17">
        <v>1</v>
      </c>
      <c r="L40" s="17">
        <v>20</v>
      </c>
      <c r="M40" s="17">
        <v>10</v>
      </c>
      <c r="N40" s="17">
        <v>28</v>
      </c>
      <c r="O40" s="17">
        <v>122</v>
      </c>
      <c r="P40" s="17">
        <v>6</v>
      </c>
      <c r="Q40" s="17">
        <v>32</v>
      </c>
      <c r="R40" s="17">
        <v>25</v>
      </c>
      <c r="S40" s="9">
        <f>M40+IFERROR(INDEX('Level Growth'!$C$4:$C$12,MATCH(E40,'Level Growth'!$A$4:$A$12,0)),'Level Growth'!$C$12)*(F40-1)</f>
        <v>10</v>
      </c>
      <c r="T40" s="9">
        <f>N40+IFERROR(INDEX('Level Growth'!$D$4:$D$12,MATCH(E40,'Level Growth'!$A$4:$A$12,0)),'Level Growth'!$D$12)*(F40-1)</f>
        <v>28</v>
      </c>
      <c r="U40" s="9">
        <f>I40+INT(F40/Constants!$C$52)</f>
        <v>12</v>
      </c>
      <c r="V40" s="9">
        <f>J40+IF(G40="horse",Constants!$C$45,0)</f>
        <v>3</v>
      </c>
      <c r="W40" s="14">
        <f>(O40+S40)*Constants!$C$3*IF(E40="Missionary",Constants!$C$4,1)</f>
        <v>26.400000000000002</v>
      </c>
      <c r="X40" s="15">
        <f>MIN(Constants!$C$8,MAX(Constants!$C$7,Constants!$C$5+R40*Constants!$C$6))</f>
        <v>0.8</v>
      </c>
      <c r="Y40" s="14">
        <f t="shared" si="3"/>
        <v>21.120000000000005</v>
      </c>
      <c r="Z40" s="15">
        <f>MIN(Constants!$C$16,MAX(Constants!$C$15,Constants!$C$13-T40*Constants!$C$17-IF(E40="Shieldbearer",Constants!$C$19,0)))</f>
        <v>0.79399999999999993</v>
      </c>
      <c r="AA40" s="15">
        <f>MIN(Constants!$C$24,Q40*Constants!$C$23)</f>
        <v>0.128</v>
      </c>
      <c r="AB40" s="15">
        <f>MIN(Constants!$C$36,Constants!$C$34+P40*Constants!$C$35)</f>
        <v>7.400000000000001E-2</v>
      </c>
      <c r="AC40" s="14">
        <f>Constants!$C$46/U40</f>
        <v>8.3333333333333339</v>
      </c>
      <c r="AD40" s="15" t="str">
        <f>IF(LEFT(C40,11)="Legionnaire",Constants!$C$40*0.5*MAX(0,1-(P40+Q40)/Constants!$C$41),"-")</f>
        <v>-</v>
      </c>
      <c r="AE40" s="9" t="str">
        <f>IF(D40="Enemy",ROUNDUP(O40/Constants!$C$42,0),"-")</f>
        <v>-</v>
      </c>
    </row>
    <row r="41" spans="1:31" x14ac:dyDescent="0.25">
      <c r="A41" s="9" t="str">
        <f t="shared" si="2"/>
        <v>philippi - Barnabas</v>
      </c>
      <c r="B41" s="17" t="s">
        <v>145</v>
      </c>
      <c r="C41" s="17" t="s">
        <v>118</v>
      </c>
      <c r="D41" s="17" t="s">
        <v>89</v>
      </c>
      <c r="E41" s="17" t="s">
        <v>116</v>
      </c>
      <c r="F41" s="17">
        <v>1</v>
      </c>
      <c r="G41" s="17"/>
      <c r="H41" s="17" t="s">
        <v>119</v>
      </c>
      <c r="I41" s="17">
        <v>11</v>
      </c>
      <c r="J41" s="17">
        <v>3</v>
      </c>
      <c r="K41" s="17">
        <v>1</v>
      </c>
      <c r="L41" s="17">
        <v>15</v>
      </c>
      <c r="M41" s="17">
        <v>38</v>
      </c>
      <c r="N41" s="17">
        <v>48</v>
      </c>
      <c r="O41" s="17">
        <v>150</v>
      </c>
      <c r="P41" s="17">
        <v>40</v>
      </c>
      <c r="Q41" s="17">
        <v>33</v>
      </c>
      <c r="R41" s="17">
        <v>21</v>
      </c>
      <c r="S41" s="9">
        <f>M41+IFERROR(INDEX('Level Growth'!$C$4:$C$12,MATCH(E41,'Level Growth'!$A$4:$A$12,0)),'Level Growth'!$C$12)*(F41-1)</f>
        <v>38</v>
      </c>
      <c r="T41" s="9">
        <f>N41+IFERROR(INDEX('Level Growth'!$D$4:$D$12,MATCH(E41,'Level Growth'!$A$4:$A$12,0)),'Level Growth'!$D$12)*(F41-1)</f>
        <v>48</v>
      </c>
      <c r="U41" s="9">
        <f>I41+INT(F41/Constants!$C$52)</f>
        <v>11</v>
      </c>
      <c r="V41" s="9">
        <f>J41+IF(G41="horse",Constants!$C$45,0)</f>
        <v>3</v>
      </c>
      <c r="W41" s="14">
        <f>(O41+S41)*Constants!$C$3*IF(E41="Missionary",Constants!$C$4,1)</f>
        <v>37.6</v>
      </c>
      <c r="X41" s="15">
        <f>MIN(Constants!$C$8,MAX(Constants!$C$7,Constants!$C$5+R41*Constants!$C$6))</f>
        <v>0.76</v>
      </c>
      <c r="Y41" s="14">
        <f t="shared" si="3"/>
        <v>28.576000000000001</v>
      </c>
      <c r="Z41" s="15">
        <f>MIN(Constants!$C$16,MAX(Constants!$C$15,Constants!$C$13-T41*Constants!$C$17-IF(E41="Shieldbearer",Constants!$C$19,0)))</f>
        <v>0.754</v>
      </c>
      <c r="AA41" s="15">
        <f>MIN(Constants!$C$24,Q41*Constants!$C$23)</f>
        <v>0.13200000000000001</v>
      </c>
      <c r="AB41" s="15">
        <f>MIN(Constants!$C$36,Constants!$C$34+P41*Constants!$C$35)</f>
        <v>0.21000000000000002</v>
      </c>
      <c r="AC41" s="14">
        <f>Constants!$C$46/U41</f>
        <v>9.0909090909090917</v>
      </c>
      <c r="AD41" s="15" t="str">
        <f>IF(LEFT(C41,11)="Legionnaire",Constants!$C$40*0.5*MAX(0,1-(P41+Q41)/Constants!$C$41),"-")</f>
        <v>-</v>
      </c>
      <c r="AE41" s="9" t="str">
        <f>IF(D41="Enemy",ROUNDUP(O41/Constants!$C$42,0),"-")</f>
        <v>-</v>
      </c>
    </row>
    <row r="42" spans="1:31" x14ac:dyDescent="0.25">
      <c r="A42" s="9" t="str">
        <f t="shared" si="2"/>
        <v>philippi - Mark</v>
      </c>
      <c r="B42" s="17" t="s">
        <v>145</v>
      </c>
      <c r="C42" s="17" t="s">
        <v>120</v>
      </c>
      <c r="D42" s="17" t="s">
        <v>89</v>
      </c>
      <c r="E42" s="17" t="s">
        <v>116</v>
      </c>
      <c r="F42" s="17">
        <v>1</v>
      </c>
      <c r="G42" s="17"/>
      <c r="H42" s="17" t="s">
        <v>121</v>
      </c>
      <c r="I42" s="17">
        <v>13</v>
      </c>
      <c r="J42" s="17">
        <v>3</v>
      </c>
      <c r="K42" s="17">
        <v>1</v>
      </c>
      <c r="L42" s="17">
        <v>10</v>
      </c>
      <c r="M42" s="17">
        <v>12</v>
      </c>
      <c r="N42" s="17">
        <v>16</v>
      </c>
      <c r="O42" s="17">
        <v>118</v>
      </c>
      <c r="P42" s="17">
        <v>41</v>
      </c>
      <c r="Q42" s="17">
        <v>26</v>
      </c>
      <c r="R42" s="17">
        <v>45</v>
      </c>
      <c r="S42" s="9">
        <f>M42+IFERROR(INDEX('Level Growth'!$C$4:$C$12,MATCH(E42,'Level Growth'!$A$4:$A$12,0)),'Level Growth'!$C$12)*(F42-1)</f>
        <v>12</v>
      </c>
      <c r="T42" s="9">
        <f>N42+IFERROR(INDEX('Level Growth'!$D$4:$D$12,MATCH(E42,'Level Growth'!$A$4:$A$12,0)),'Level Growth'!$D$12)*(F42-1)</f>
        <v>16</v>
      </c>
      <c r="U42" s="9">
        <f>I42+INT(F42/Constants!$C$52)</f>
        <v>13</v>
      </c>
      <c r="V42" s="9">
        <f>J42+IF(G42="horse",Constants!$C$45,0)</f>
        <v>3</v>
      </c>
      <c r="W42" s="14">
        <f>(O42+S42)*Constants!$C$3*IF(E42="Missionary",Constants!$C$4,1)</f>
        <v>26</v>
      </c>
      <c r="X42" s="15">
        <f>MIN(Constants!$C$8,MAX(Constants!$C$7,Constants!$C$5+R42*Constants!$C$6))</f>
        <v>0.98</v>
      </c>
      <c r="Y42" s="14">
        <f t="shared" si="3"/>
        <v>25.48</v>
      </c>
      <c r="Z42" s="15">
        <f>MIN(Constants!$C$16,MAX(Constants!$C$15,Constants!$C$13-T42*Constants!$C$17-IF(E42="Shieldbearer",Constants!$C$19,0)))</f>
        <v>0.81799999999999995</v>
      </c>
      <c r="AA42" s="15">
        <f>MIN(Constants!$C$24,Q42*Constants!$C$23)</f>
        <v>0.10400000000000001</v>
      </c>
      <c r="AB42" s="15">
        <f>MIN(Constants!$C$36,Constants!$C$34+P42*Constants!$C$35)</f>
        <v>0.21400000000000002</v>
      </c>
      <c r="AC42" s="14">
        <f>Constants!$C$46/U42</f>
        <v>7.6923076923076925</v>
      </c>
      <c r="AD42" s="15" t="str">
        <f>IF(LEFT(C42,11)="Legionnaire",Constants!$C$40*0.5*MAX(0,1-(P42+Q42)/Constants!$C$41),"-")</f>
        <v>-</v>
      </c>
      <c r="AE42" s="9" t="str">
        <f>IF(D42="Enemy",ROUNDUP(O42/Constants!$C$42,0),"-")</f>
        <v>-</v>
      </c>
    </row>
    <row r="43" spans="1:31" x14ac:dyDescent="0.25">
      <c r="A43" s="9" t="str">
        <f t="shared" si="2"/>
        <v>philippi - John</v>
      </c>
      <c r="B43" s="17" t="s">
        <v>145</v>
      </c>
      <c r="C43" s="17" t="s">
        <v>122</v>
      </c>
      <c r="D43" s="17" t="s">
        <v>89</v>
      </c>
      <c r="E43" s="17" t="s">
        <v>116</v>
      </c>
      <c r="F43" s="17">
        <v>1</v>
      </c>
      <c r="G43" s="17"/>
      <c r="H43" s="17" t="s">
        <v>123</v>
      </c>
      <c r="I43" s="17">
        <v>11</v>
      </c>
      <c r="J43" s="17">
        <v>3</v>
      </c>
      <c r="K43" s="17">
        <v>1</v>
      </c>
      <c r="L43" s="17">
        <v>50</v>
      </c>
      <c r="M43" s="17">
        <v>31</v>
      </c>
      <c r="N43" s="17">
        <v>26</v>
      </c>
      <c r="O43" s="17">
        <v>113</v>
      </c>
      <c r="P43" s="17">
        <v>19</v>
      </c>
      <c r="Q43" s="17">
        <v>13</v>
      </c>
      <c r="R43" s="17">
        <v>34</v>
      </c>
      <c r="S43" s="9">
        <f>M43+IFERROR(INDEX('Level Growth'!$C$4:$C$12,MATCH(E43,'Level Growth'!$A$4:$A$12,0)),'Level Growth'!$C$12)*(F43-1)</f>
        <v>31</v>
      </c>
      <c r="T43" s="9">
        <f>N43+IFERROR(INDEX('Level Growth'!$D$4:$D$12,MATCH(E43,'Level Growth'!$A$4:$A$12,0)),'Level Growth'!$D$12)*(F43-1)</f>
        <v>26</v>
      </c>
      <c r="U43" s="9">
        <f>I43+INT(F43/Constants!$C$52)</f>
        <v>11</v>
      </c>
      <c r="V43" s="9">
        <f>J43+IF(G43="horse",Constants!$C$45,0)</f>
        <v>3</v>
      </c>
      <c r="W43" s="14">
        <f>(O43+S43)*Constants!$C$3*IF(E43="Missionary",Constants!$C$4,1)</f>
        <v>28.8</v>
      </c>
      <c r="X43" s="15">
        <f>MIN(Constants!$C$8,MAX(Constants!$C$7,Constants!$C$5+R43*Constants!$C$6))</f>
        <v>0.89000000000000012</v>
      </c>
      <c r="Y43" s="14">
        <f t="shared" si="3"/>
        <v>25.632000000000005</v>
      </c>
      <c r="Z43" s="15">
        <f>MIN(Constants!$C$16,MAX(Constants!$C$15,Constants!$C$13-T43*Constants!$C$17-IF(E43="Shieldbearer",Constants!$C$19,0)))</f>
        <v>0.79799999999999993</v>
      </c>
      <c r="AA43" s="15">
        <f>MIN(Constants!$C$24,Q43*Constants!$C$23)</f>
        <v>5.2000000000000005E-2</v>
      </c>
      <c r="AB43" s="15">
        <f>MIN(Constants!$C$36,Constants!$C$34+P43*Constants!$C$35)</f>
        <v>0.126</v>
      </c>
      <c r="AC43" s="14">
        <f>Constants!$C$46/U43</f>
        <v>9.0909090909090917</v>
      </c>
      <c r="AD43" s="15" t="str">
        <f>IF(LEFT(C43,11)="Legionnaire",Constants!$C$40*0.5*MAX(0,1-(P43+Q43)/Constants!$C$41),"-")</f>
        <v>-</v>
      </c>
      <c r="AE43" s="9" t="str">
        <f>IF(D43="Enemy",ROUNDUP(O43/Constants!$C$42,0),"-")</f>
        <v>-</v>
      </c>
    </row>
    <row r="44" spans="1:31" x14ac:dyDescent="0.25">
      <c r="A44" s="9" t="str">
        <f t="shared" si="2"/>
        <v>philippi - Philip</v>
      </c>
      <c r="B44" s="17" t="s">
        <v>145</v>
      </c>
      <c r="C44" s="17" t="s">
        <v>137</v>
      </c>
      <c r="D44" s="17" t="s">
        <v>89</v>
      </c>
      <c r="E44" s="17" t="s">
        <v>116</v>
      </c>
      <c r="F44" s="17">
        <v>1</v>
      </c>
      <c r="G44" s="17"/>
      <c r="H44" s="17" t="s">
        <v>138</v>
      </c>
      <c r="I44" s="17">
        <v>10</v>
      </c>
      <c r="J44" s="17">
        <v>2</v>
      </c>
      <c r="K44" s="17">
        <v>1</v>
      </c>
      <c r="L44" s="17">
        <v>30</v>
      </c>
      <c r="M44" s="17">
        <v>32</v>
      </c>
      <c r="N44" s="17">
        <v>27</v>
      </c>
      <c r="O44" s="17">
        <v>138</v>
      </c>
      <c r="P44" s="17">
        <v>20</v>
      </c>
      <c r="Q44" s="17">
        <v>36</v>
      </c>
      <c r="R44" s="17">
        <v>31</v>
      </c>
      <c r="S44" s="9">
        <f>M44+IFERROR(INDEX('Level Growth'!$C$4:$C$12,MATCH(E44,'Level Growth'!$A$4:$A$12,0)),'Level Growth'!$C$12)*(F44-1)</f>
        <v>32</v>
      </c>
      <c r="T44" s="9">
        <f>N44+IFERROR(INDEX('Level Growth'!$D$4:$D$12,MATCH(E44,'Level Growth'!$A$4:$A$12,0)),'Level Growth'!$D$12)*(F44-1)</f>
        <v>27</v>
      </c>
      <c r="U44" s="9">
        <f>I44+INT(F44/Constants!$C$52)</f>
        <v>10</v>
      </c>
      <c r="V44" s="9">
        <f>J44+IF(G44="horse",Constants!$C$45,0)</f>
        <v>2</v>
      </c>
      <c r="W44" s="14">
        <f>(O44+S44)*Constants!$C$3*IF(E44="Missionary",Constants!$C$4,1)</f>
        <v>34</v>
      </c>
      <c r="X44" s="15">
        <f>MIN(Constants!$C$8,MAX(Constants!$C$7,Constants!$C$5+R44*Constants!$C$6))</f>
        <v>0.8600000000000001</v>
      </c>
      <c r="Y44" s="14">
        <f t="shared" si="3"/>
        <v>29.240000000000002</v>
      </c>
      <c r="Z44" s="15">
        <f>MIN(Constants!$C$16,MAX(Constants!$C$15,Constants!$C$13-T44*Constants!$C$17-IF(E44="Shieldbearer",Constants!$C$19,0)))</f>
        <v>0.79599999999999993</v>
      </c>
      <c r="AA44" s="15">
        <f>MIN(Constants!$C$24,Q44*Constants!$C$23)</f>
        <v>0.14400000000000002</v>
      </c>
      <c r="AB44" s="15">
        <f>MIN(Constants!$C$36,Constants!$C$34+P44*Constants!$C$35)</f>
        <v>0.13</v>
      </c>
      <c r="AC44" s="14">
        <f>Constants!$C$46/U44</f>
        <v>10</v>
      </c>
      <c r="AD44" s="15" t="str">
        <f>IF(LEFT(C44,11)="Legionnaire",Constants!$C$40*0.5*MAX(0,1-(P44+Q44)/Constants!$C$41),"-")</f>
        <v>-</v>
      </c>
      <c r="AE44" s="9" t="str">
        <f>IF(D44="Enemy",ROUNDUP(O44/Constants!$C$42,0),"-")</f>
        <v>-</v>
      </c>
    </row>
    <row r="45" spans="1:31" x14ac:dyDescent="0.25">
      <c r="A45" s="9" t="str">
        <f t="shared" si="2"/>
        <v>philippi - Timothy</v>
      </c>
      <c r="B45" s="17" t="s">
        <v>145</v>
      </c>
      <c r="C45" s="17" t="s">
        <v>139</v>
      </c>
      <c r="D45" s="17" t="s">
        <v>89</v>
      </c>
      <c r="E45" s="17" t="s">
        <v>116</v>
      </c>
      <c r="F45" s="17">
        <v>1</v>
      </c>
      <c r="G45" s="17"/>
      <c r="H45" s="17" t="s">
        <v>121</v>
      </c>
      <c r="I45" s="17">
        <v>11</v>
      </c>
      <c r="J45" s="17">
        <v>3</v>
      </c>
      <c r="K45" s="17">
        <v>1</v>
      </c>
      <c r="L45" s="17">
        <v>0</v>
      </c>
      <c r="M45" s="17">
        <v>14</v>
      </c>
      <c r="N45" s="17">
        <v>20</v>
      </c>
      <c r="O45" s="17">
        <v>128</v>
      </c>
      <c r="P45" s="17">
        <v>30</v>
      </c>
      <c r="Q45" s="17">
        <v>24</v>
      </c>
      <c r="R45" s="17">
        <v>30</v>
      </c>
      <c r="S45" s="9">
        <f>M45+IFERROR(INDEX('Level Growth'!$C$4:$C$12,MATCH(E45,'Level Growth'!$A$4:$A$12,0)),'Level Growth'!$C$12)*(F45-1)</f>
        <v>14</v>
      </c>
      <c r="T45" s="9">
        <f>N45+IFERROR(INDEX('Level Growth'!$D$4:$D$12,MATCH(E45,'Level Growth'!$A$4:$A$12,0)),'Level Growth'!$D$12)*(F45-1)</f>
        <v>20</v>
      </c>
      <c r="U45" s="9">
        <f>I45+INT(F45/Constants!$C$52)</f>
        <v>11</v>
      </c>
      <c r="V45" s="9">
        <f>J45+IF(G45="horse",Constants!$C$45,0)</f>
        <v>3</v>
      </c>
      <c r="W45" s="14">
        <f>(O45+S45)*Constants!$C$3*IF(E45="Missionary",Constants!$C$4,1)</f>
        <v>28.400000000000002</v>
      </c>
      <c r="X45" s="15">
        <f>MIN(Constants!$C$8,MAX(Constants!$C$7,Constants!$C$5+R45*Constants!$C$6))</f>
        <v>0.85000000000000009</v>
      </c>
      <c r="Y45" s="14">
        <f t="shared" si="3"/>
        <v>24.140000000000004</v>
      </c>
      <c r="Z45" s="15">
        <f>MIN(Constants!$C$16,MAX(Constants!$C$15,Constants!$C$13-T45*Constants!$C$17-IF(E45="Shieldbearer",Constants!$C$19,0)))</f>
        <v>0.80999999999999994</v>
      </c>
      <c r="AA45" s="15">
        <f>MIN(Constants!$C$24,Q45*Constants!$C$23)</f>
        <v>9.6000000000000002E-2</v>
      </c>
      <c r="AB45" s="15">
        <f>MIN(Constants!$C$36,Constants!$C$34+P45*Constants!$C$35)</f>
        <v>0.16999999999999998</v>
      </c>
      <c r="AC45" s="14">
        <f>Constants!$C$46/U45</f>
        <v>9.0909090909090917</v>
      </c>
      <c r="AD45" s="15" t="str">
        <f>IF(LEFT(C45,11)="Legionnaire",Constants!$C$40*0.5*MAX(0,1-(P45+Q45)/Constants!$C$41),"-")</f>
        <v>-</v>
      </c>
      <c r="AE45" s="9" t="str">
        <f>IF(D45="Enemy",ROUNDUP(O45/Constants!$C$42,0),"-")</f>
        <v>-</v>
      </c>
    </row>
    <row r="46" spans="1:31" x14ac:dyDescent="0.25">
      <c r="A46" s="9" t="str">
        <f t="shared" si="2"/>
        <v>philippi - Luke</v>
      </c>
      <c r="B46" s="17" t="s">
        <v>145</v>
      </c>
      <c r="C46" s="17" t="s">
        <v>140</v>
      </c>
      <c r="D46" s="17" t="s">
        <v>89</v>
      </c>
      <c r="E46" s="17" t="s">
        <v>116</v>
      </c>
      <c r="F46" s="17">
        <v>1</v>
      </c>
      <c r="G46" s="17"/>
      <c r="H46" s="17" t="s">
        <v>105</v>
      </c>
      <c r="I46" s="17">
        <v>10</v>
      </c>
      <c r="J46" s="17">
        <v>2</v>
      </c>
      <c r="K46" s="17">
        <v>1</v>
      </c>
      <c r="L46" s="17">
        <v>25</v>
      </c>
      <c r="M46" s="17">
        <v>38</v>
      </c>
      <c r="N46" s="17">
        <v>32</v>
      </c>
      <c r="O46" s="17">
        <v>120</v>
      </c>
      <c r="P46" s="17">
        <v>41</v>
      </c>
      <c r="Q46" s="17">
        <v>32</v>
      </c>
      <c r="R46" s="17">
        <v>28</v>
      </c>
      <c r="S46" s="9">
        <f>M46+IFERROR(INDEX('Level Growth'!$C$4:$C$12,MATCH(E46,'Level Growth'!$A$4:$A$12,0)),'Level Growth'!$C$12)*(F46-1)</f>
        <v>38</v>
      </c>
      <c r="T46" s="9">
        <f>N46+IFERROR(INDEX('Level Growth'!$D$4:$D$12,MATCH(E46,'Level Growth'!$A$4:$A$12,0)),'Level Growth'!$D$12)*(F46-1)</f>
        <v>32</v>
      </c>
      <c r="U46" s="9">
        <f>I46+INT(F46/Constants!$C$52)</f>
        <v>10</v>
      </c>
      <c r="V46" s="9">
        <f>J46+IF(G46="horse",Constants!$C$45,0)</f>
        <v>2</v>
      </c>
      <c r="W46" s="14">
        <f>(O46+S46)*Constants!$C$3*IF(E46="Missionary",Constants!$C$4,1)</f>
        <v>31.6</v>
      </c>
      <c r="X46" s="15">
        <f>MIN(Constants!$C$8,MAX(Constants!$C$7,Constants!$C$5+R46*Constants!$C$6))</f>
        <v>0.83000000000000007</v>
      </c>
      <c r="Y46" s="14">
        <f t="shared" si="3"/>
        <v>26.228000000000005</v>
      </c>
      <c r="Z46" s="15">
        <f>MIN(Constants!$C$16,MAX(Constants!$C$15,Constants!$C$13-T46*Constants!$C$17-IF(E46="Shieldbearer",Constants!$C$19,0)))</f>
        <v>0.78600000000000003</v>
      </c>
      <c r="AA46" s="15">
        <f>MIN(Constants!$C$24,Q46*Constants!$C$23)</f>
        <v>0.128</v>
      </c>
      <c r="AB46" s="15">
        <f>MIN(Constants!$C$36,Constants!$C$34+P46*Constants!$C$35)</f>
        <v>0.21400000000000002</v>
      </c>
      <c r="AC46" s="14">
        <f>Constants!$C$46/U46</f>
        <v>10</v>
      </c>
      <c r="AD46" s="15" t="str">
        <f>IF(LEFT(C46,11)="Legionnaire",Constants!$C$40*0.5*MAX(0,1-(P46+Q46)/Constants!$C$41),"-")</f>
        <v>-</v>
      </c>
      <c r="AE46" s="9" t="str">
        <f>IF(D46="Enemy",ROUNDUP(O46/Constants!$C$42,0),"-")</f>
        <v>-</v>
      </c>
    </row>
    <row r="47" spans="1:31" x14ac:dyDescent="0.25">
      <c r="A47" s="9" t="str">
        <f t="shared" si="2"/>
        <v>philippi - Titus</v>
      </c>
      <c r="B47" s="17" t="s">
        <v>145</v>
      </c>
      <c r="C47" s="17" t="s">
        <v>141</v>
      </c>
      <c r="D47" s="17" t="s">
        <v>89</v>
      </c>
      <c r="E47" s="17" t="s">
        <v>116</v>
      </c>
      <c r="F47" s="17">
        <v>1</v>
      </c>
      <c r="G47" s="17"/>
      <c r="H47" s="17" t="s">
        <v>138</v>
      </c>
      <c r="I47" s="17">
        <v>12</v>
      </c>
      <c r="J47" s="17">
        <v>3</v>
      </c>
      <c r="K47" s="17">
        <v>1</v>
      </c>
      <c r="L47" s="17">
        <v>0</v>
      </c>
      <c r="M47" s="17">
        <v>22</v>
      </c>
      <c r="N47" s="17">
        <v>14</v>
      </c>
      <c r="O47" s="17">
        <v>132</v>
      </c>
      <c r="P47" s="17">
        <v>16</v>
      </c>
      <c r="Q47" s="17">
        <v>25</v>
      </c>
      <c r="R47" s="17">
        <v>27</v>
      </c>
      <c r="S47" s="9">
        <f>M47+IFERROR(INDEX('Level Growth'!$C$4:$C$12,MATCH(E47,'Level Growth'!$A$4:$A$12,0)),'Level Growth'!$C$12)*(F47-1)</f>
        <v>22</v>
      </c>
      <c r="T47" s="9">
        <f>N47+IFERROR(INDEX('Level Growth'!$D$4:$D$12,MATCH(E47,'Level Growth'!$A$4:$A$12,0)),'Level Growth'!$D$12)*(F47-1)</f>
        <v>14</v>
      </c>
      <c r="U47" s="9">
        <f>I47+INT(F47/Constants!$C$52)</f>
        <v>12</v>
      </c>
      <c r="V47" s="9">
        <f>J47+IF(G47="horse",Constants!$C$45,0)</f>
        <v>3</v>
      </c>
      <c r="W47" s="14">
        <f>(O47+S47)*Constants!$C$3*IF(E47="Missionary",Constants!$C$4,1)</f>
        <v>30.8</v>
      </c>
      <c r="X47" s="15">
        <f>MIN(Constants!$C$8,MAX(Constants!$C$7,Constants!$C$5+R47*Constants!$C$6))</f>
        <v>0.82000000000000006</v>
      </c>
      <c r="Y47" s="14">
        <f t="shared" si="3"/>
        <v>25.256000000000004</v>
      </c>
      <c r="Z47" s="15">
        <f>MIN(Constants!$C$16,MAX(Constants!$C$15,Constants!$C$13-T47*Constants!$C$17-IF(E47="Shieldbearer",Constants!$C$19,0)))</f>
        <v>0.82199999999999995</v>
      </c>
      <c r="AA47" s="15">
        <f>MIN(Constants!$C$24,Q47*Constants!$C$23)</f>
        <v>0.1</v>
      </c>
      <c r="AB47" s="15">
        <f>MIN(Constants!$C$36,Constants!$C$34+P47*Constants!$C$35)</f>
        <v>0.114</v>
      </c>
      <c r="AC47" s="14">
        <f>Constants!$C$46/U47</f>
        <v>8.3333333333333339</v>
      </c>
      <c r="AD47" s="15" t="str">
        <f>IF(LEFT(C47,11)="Legionnaire",Constants!$C$40*0.5*MAX(0,1-(P47+Q47)/Constants!$C$41),"-")</f>
        <v>-</v>
      </c>
      <c r="AE47" s="9" t="str">
        <f>IF(D47="Enemy",ROUNDUP(O47/Constants!$C$42,0),"-")</f>
        <v>-</v>
      </c>
    </row>
    <row r="48" spans="1:31" x14ac:dyDescent="0.25">
      <c r="A48" s="9" t="str">
        <f t="shared" si="2"/>
        <v>philippi - Silas</v>
      </c>
      <c r="B48" s="17" t="s">
        <v>145</v>
      </c>
      <c r="C48" s="17" t="s">
        <v>142</v>
      </c>
      <c r="D48" s="17" t="s">
        <v>89</v>
      </c>
      <c r="E48" s="17" t="s">
        <v>116</v>
      </c>
      <c r="F48" s="17">
        <v>1</v>
      </c>
      <c r="G48" s="17"/>
      <c r="H48" s="17" t="s">
        <v>111</v>
      </c>
      <c r="I48" s="17">
        <v>11</v>
      </c>
      <c r="J48" s="17">
        <v>3</v>
      </c>
      <c r="K48" s="17">
        <v>1</v>
      </c>
      <c r="L48" s="17">
        <v>0</v>
      </c>
      <c r="M48" s="17">
        <v>15</v>
      </c>
      <c r="N48" s="17">
        <v>20</v>
      </c>
      <c r="O48" s="17">
        <v>119</v>
      </c>
      <c r="P48" s="17">
        <v>29</v>
      </c>
      <c r="Q48" s="17">
        <v>32</v>
      </c>
      <c r="R48" s="17">
        <v>25</v>
      </c>
      <c r="S48" s="9">
        <f>M48+IFERROR(INDEX('Level Growth'!$C$4:$C$12,MATCH(E48,'Level Growth'!$A$4:$A$12,0)),'Level Growth'!$C$12)*(F48-1)</f>
        <v>15</v>
      </c>
      <c r="T48" s="9">
        <f>N48+IFERROR(INDEX('Level Growth'!$D$4:$D$12,MATCH(E48,'Level Growth'!$A$4:$A$12,0)),'Level Growth'!$D$12)*(F48-1)</f>
        <v>20</v>
      </c>
      <c r="U48" s="9">
        <f>I48+INT(F48/Constants!$C$52)</f>
        <v>11</v>
      </c>
      <c r="V48" s="9">
        <f>J48+IF(G48="horse",Constants!$C$45,0)</f>
        <v>3</v>
      </c>
      <c r="W48" s="14">
        <f>(O48+S48)*Constants!$C$3*IF(E48="Missionary",Constants!$C$4,1)</f>
        <v>26.8</v>
      </c>
      <c r="X48" s="15">
        <f>MIN(Constants!$C$8,MAX(Constants!$C$7,Constants!$C$5+R48*Constants!$C$6))</f>
        <v>0.8</v>
      </c>
      <c r="Y48" s="14">
        <f t="shared" si="3"/>
        <v>21.44</v>
      </c>
      <c r="Z48" s="15">
        <f>MIN(Constants!$C$16,MAX(Constants!$C$15,Constants!$C$13-T48*Constants!$C$17-IF(E48="Shieldbearer",Constants!$C$19,0)))</f>
        <v>0.80999999999999994</v>
      </c>
      <c r="AA48" s="15">
        <f>MIN(Constants!$C$24,Q48*Constants!$C$23)</f>
        <v>0.128</v>
      </c>
      <c r="AB48" s="15">
        <f>MIN(Constants!$C$36,Constants!$C$34+P48*Constants!$C$35)</f>
        <v>0.16600000000000001</v>
      </c>
      <c r="AC48" s="14">
        <f>Constants!$C$46/U48</f>
        <v>9.0909090909090917</v>
      </c>
      <c r="AD48" s="15" t="str">
        <f>IF(LEFT(C48,11)="Legionnaire",Constants!$C$40*0.5*MAX(0,1-(P48+Q48)/Constants!$C$41),"-")</f>
        <v>-</v>
      </c>
      <c r="AE48" s="9" t="str">
        <f>IF(D48="Enemy",ROUNDUP(O48/Constants!$C$42,0),"-")</f>
        <v>-</v>
      </c>
    </row>
    <row r="49" spans="1:31" x14ac:dyDescent="0.25">
      <c r="A49" s="9" t="str">
        <f t="shared" si="2"/>
        <v>philippi - Priscilla</v>
      </c>
      <c r="B49" s="17" t="s">
        <v>145</v>
      </c>
      <c r="C49" s="17" t="s">
        <v>143</v>
      </c>
      <c r="D49" s="17" t="s">
        <v>89</v>
      </c>
      <c r="E49" s="17" t="s">
        <v>116</v>
      </c>
      <c r="F49" s="17">
        <v>1</v>
      </c>
      <c r="G49" s="17"/>
      <c r="H49" s="17" t="s">
        <v>138</v>
      </c>
      <c r="I49" s="17">
        <v>10</v>
      </c>
      <c r="J49" s="17">
        <v>2</v>
      </c>
      <c r="K49" s="17">
        <v>1</v>
      </c>
      <c r="L49" s="17">
        <v>20</v>
      </c>
      <c r="M49" s="17">
        <v>36</v>
      </c>
      <c r="N49" s="17">
        <v>36</v>
      </c>
      <c r="O49" s="17">
        <v>130</v>
      </c>
      <c r="P49" s="17">
        <v>30</v>
      </c>
      <c r="Q49" s="17">
        <v>36</v>
      </c>
      <c r="R49" s="17">
        <v>31</v>
      </c>
      <c r="S49" s="9">
        <f>M49+IFERROR(INDEX('Level Growth'!$C$4:$C$12,MATCH(E49,'Level Growth'!$A$4:$A$12,0)),'Level Growth'!$C$12)*(F49-1)</f>
        <v>36</v>
      </c>
      <c r="T49" s="9">
        <f>N49+IFERROR(INDEX('Level Growth'!$D$4:$D$12,MATCH(E49,'Level Growth'!$A$4:$A$12,0)),'Level Growth'!$D$12)*(F49-1)</f>
        <v>36</v>
      </c>
      <c r="U49" s="9">
        <f>I49+INT(F49/Constants!$C$52)</f>
        <v>10</v>
      </c>
      <c r="V49" s="9">
        <f>J49+IF(G49="horse",Constants!$C$45,0)</f>
        <v>2</v>
      </c>
      <c r="W49" s="14">
        <f>(O49+S49)*Constants!$C$3*IF(E49="Missionary",Constants!$C$4,1)</f>
        <v>33.200000000000003</v>
      </c>
      <c r="X49" s="15">
        <f>MIN(Constants!$C$8,MAX(Constants!$C$7,Constants!$C$5+R49*Constants!$C$6))</f>
        <v>0.8600000000000001</v>
      </c>
      <c r="Y49" s="14">
        <f t="shared" si="3"/>
        <v>28.552000000000007</v>
      </c>
      <c r="Z49" s="15">
        <f>MIN(Constants!$C$16,MAX(Constants!$C$15,Constants!$C$13-T49*Constants!$C$17-IF(E49="Shieldbearer",Constants!$C$19,0)))</f>
        <v>0.77800000000000002</v>
      </c>
      <c r="AA49" s="15">
        <f>MIN(Constants!$C$24,Q49*Constants!$C$23)</f>
        <v>0.14400000000000002</v>
      </c>
      <c r="AB49" s="15">
        <f>MIN(Constants!$C$36,Constants!$C$34+P49*Constants!$C$35)</f>
        <v>0.16999999999999998</v>
      </c>
      <c r="AC49" s="14">
        <f>Constants!$C$46/U49</f>
        <v>10</v>
      </c>
      <c r="AD49" s="15" t="str">
        <f>IF(LEFT(C49,11)="Legionnaire",Constants!$C$40*0.5*MAX(0,1-(P49+Q49)/Constants!$C$41),"-")</f>
        <v>-</v>
      </c>
      <c r="AE49" s="9" t="str">
        <f>IF(D49="Enemy",ROUNDUP(O49/Constants!$C$42,0),"-")</f>
        <v>-</v>
      </c>
    </row>
    <row r="50" spans="1:31" x14ac:dyDescent="0.25">
      <c r="A50" s="9" t="str">
        <f t="shared" si="2"/>
        <v>philippi - Aquila</v>
      </c>
      <c r="B50" s="17" t="s">
        <v>145</v>
      </c>
      <c r="C50" s="17" t="s">
        <v>144</v>
      </c>
      <c r="D50" s="17" t="s">
        <v>89</v>
      </c>
      <c r="E50" s="17" t="s">
        <v>116</v>
      </c>
      <c r="F50" s="17">
        <v>1</v>
      </c>
      <c r="G50" s="17"/>
      <c r="H50" s="17" t="s">
        <v>121</v>
      </c>
      <c r="I50" s="17">
        <v>11</v>
      </c>
      <c r="J50" s="17">
        <v>3</v>
      </c>
      <c r="K50" s="17">
        <v>1</v>
      </c>
      <c r="L50" s="17">
        <v>0</v>
      </c>
      <c r="M50" s="17">
        <v>8</v>
      </c>
      <c r="N50" s="17">
        <v>14</v>
      </c>
      <c r="O50" s="17">
        <v>127</v>
      </c>
      <c r="P50" s="17">
        <v>16</v>
      </c>
      <c r="Q50" s="17">
        <v>19</v>
      </c>
      <c r="R50" s="17">
        <v>4</v>
      </c>
      <c r="S50" s="9">
        <f>M50+IFERROR(INDEX('Level Growth'!$C$4:$C$12,MATCH(E50,'Level Growth'!$A$4:$A$12,0)),'Level Growth'!$C$12)*(F50-1)</f>
        <v>8</v>
      </c>
      <c r="T50" s="9">
        <f>N50+IFERROR(INDEX('Level Growth'!$D$4:$D$12,MATCH(E50,'Level Growth'!$A$4:$A$12,0)),'Level Growth'!$D$12)*(F50-1)</f>
        <v>14</v>
      </c>
      <c r="U50" s="9">
        <f>I50+INT(F50/Constants!$C$52)</f>
        <v>11</v>
      </c>
      <c r="V50" s="9">
        <f>J50+IF(G50="horse",Constants!$C$45,0)</f>
        <v>3</v>
      </c>
      <c r="W50" s="14">
        <f>(O50+S50)*Constants!$C$3*IF(E50="Missionary",Constants!$C$4,1)</f>
        <v>27</v>
      </c>
      <c r="X50" s="15">
        <f>MIN(Constants!$C$8,MAX(Constants!$C$7,Constants!$C$5+R50*Constants!$C$6))</f>
        <v>0.59000000000000008</v>
      </c>
      <c r="Y50" s="14">
        <f t="shared" si="3"/>
        <v>15.930000000000001</v>
      </c>
      <c r="Z50" s="15">
        <f>MIN(Constants!$C$16,MAX(Constants!$C$15,Constants!$C$13-T50*Constants!$C$17-IF(E50="Shieldbearer",Constants!$C$19,0)))</f>
        <v>0.82199999999999995</v>
      </c>
      <c r="AA50" s="15">
        <f>MIN(Constants!$C$24,Q50*Constants!$C$23)</f>
        <v>7.5999999999999998E-2</v>
      </c>
      <c r="AB50" s="15">
        <f>MIN(Constants!$C$36,Constants!$C$34+P50*Constants!$C$35)</f>
        <v>0.114</v>
      </c>
      <c r="AC50" s="14">
        <f>Constants!$C$46/U50</f>
        <v>9.0909090909090917</v>
      </c>
      <c r="AD50" s="15" t="str">
        <f>IF(LEFT(C50,11)="Legionnaire",Constants!$C$40*0.5*MAX(0,1-(P50+Q50)/Constants!$C$41),"-")</f>
        <v>-</v>
      </c>
      <c r="AE50" s="9" t="str">
        <f>IF(D50="Enemy",ROUNDUP(O50/Constants!$C$42,0),"-")</f>
        <v>-</v>
      </c>
    </row>
    <row r="51" spans="1:31" x14ac:dyDescent="0.25">
      <c r="A51" s="9" t="str">
        <f t="shared" si="2"/>
        <v>philippi - Legionnaire Shieldbearer 1</v>
      </c>
      <c r="B51" s="17" t="s">
        <v>145</v>
      </c>
      <c r="C51" s="17" t="s">
        <v>124</v>
      </c>
      <c r="D51" s="17" t="s">
        <v>103</v>
      </c>
      <c r="E51" s="17" t="s">
        <v>125</v>
      </c>
      <c r="F51" s="17">
        <v>3</v>
      </c>
      <c r="G51" s="17"/>
      <c r="H51" s="17" t="s">
        <v>126</v>
      </c>
      <c r="I51" s="17">
        <v>10</v>
      </c>
      <c r="J51" s="17">
        <v>3</v>
      </c>
      <c r="K51" s="17">
        <v>1</v>
      </c>
      <c r="L51" s="17">
        <v>0</v>
      </c>
      <c r="M51" s="17">
        <v>18</v>
      </c>
      <c r="N51" s="17">
        <v>20</v>
      </c>
      <c r="O51" s="17">
        <v>100</v>
      </c>
      <c r="P51" s="17">
        <v>24</v>
      </c>
      <c r="Q51" s="17">
        <v>20</v>
      </c>
      <c r="R51" s="17">
        <v>18</v>
      </c>
      <c r="S51" s="9">
        <f>M51+IFERROR(INDEX('Level Growth'!$C$4:$C$12,MATCH(E51,'Level Growth'!$A$4:$A$12,0)),'Level Growth'!$C$12)*(F51-1)</f>
        <v>18</v>
      </c>
      <c r="T51" s="9">
        <f>N51+IFERROR(INDEX('Level Growth'!$D$4:$D$12,MATCH(E51,'Level Growth'!$A$4:$A$12,0)),'Level Growth'!$D$12)*(F51-1)</f>
        <v>26</v>
      </c>
      <c r="U51" s="9">
        <f>I51+INT(F51/Constants!$C$52)</f>
        <v>10</v>
      </c>
      <c r="V51" s="9">
        <f>J51+IF(G51="horse",Constants!$C$45,0)</f>
        <v>3</v>
      </c>
      <c r="W51" s="14">
        <f>(O51+S51)*Constants!$C$3*IF(E51="Missionary",Constants!$C$4,1)</f>
        <v>23.6</v>
      </c>
      <c r="X51" s="15">
        <f>MIN(Constants!$C$8,MAX(Constants!$C$7,Constants!$C$5+R51*Constants!$C$6))</f>
        <v>0.73</v>
      </c>
      <c r="Y51" s="14">
        <f t="shared" si="3"/>
        <v>17.228000000000002</v>
      </c>
      <c r="Z51" s="15">
        <f>MIN(Constants!$C$16,MAX(Constants!$C$15,Constants!$C$13-T51*Constants!$C$17-IF(E51="Shieldbearer",Constants!$C$19,0)))</f>
        <v>0.64799999999999991</v>
      </c>
      <c r="AA51" s="15">
        <f>MIN(Constants!$C$24,Q51*Constants!$C$23)</f>
        <v>0.08</v>
      </c>
      <c r="AB51" s="15">
        <f>MIN(Constants!$C$36,Constants!$C$34+P51*Constants!$C$35)</f>
        <v>0.14600000000000002</v>
      </c>
      <c r="AC51" s="14">
        <f>Constants!$C$46/U51</f>
        <v>10</v>
      </c>
      <c r="AD51" s="15">
        <f>IF(LEFT(C51,11)="Legionnaire",Constants!$C$40*0.5*MAX(0,1-(P51+Q51)/Constants!$C$41),"-")</f>
        <v>0.21199999999999999</v>
      </c>
      <c r="AE51" s="9">
        <f>IF(D51="Enemy",ROUNDUP(O51/Constants!$C$42,0),"-")</f>
        <v>10</v>
      </c>
    </row>
    <row r="52" spans="1:31" x14ac:dyDescent="0.25">
      <c r="A52" s="9" t="str">
        <f t="shared" si="2"/>
        <v>philippi - Legionnaire Medic 1</v>
      </c>
      <c r="B52" s="17" t="s">
        <v>145</v>
      </c>
      <c r="C52" s="17" t="s">
        <v>130</v>
      </c>
      <c r="D52" s="17" t="s">
        <v>103</v>
      </c>
      <c r="E52" s="17" t="s">
        <v>131</v>
      </c>
      <c r="F52" s="17">
        <v>3</v>
      </c>
      <c r="G52" s="17"/>
      <c r="H52" s="17" t="s">
        <v>132</v>
      </c>
      <c r="I52" s="17">
        <v>11</v>
      </c>
      <c r="J52" s="17">
        <v>3</v>
      </c>
      <c r="K52" s="17">
        <v>1</v>
      </c>
      <c r="L52" s="17">
        <v>0</v>
      </c>
      <c r="M52" s="17">
        <v>16</v>
      </c>
      <c r="N52" s="17">
        <v>22</v>
      </c>
      <c r="O52" s="17">
        <v>100</v>
      </c>
      <c r="P52" s="17">
        <v>22</v>
      </c>
      <c r="Q52" s="17">
        <v>22</v>
      </c>
      <c r="R52" s="17">
        <v>19</v>
      </c>
      <c r="S52" s="9">
        <f>M52+IFERROR(INDEX('Level Growth'!$C$4:$C$12,MATCH(E52,'Level Growth'!$A$4:$A$12,0)),'Level Growth'!$C$12)*(F52-1)</f>
        <v>20</v>
      </c>
      <c r="T52" s="9">
        <f>N52+IFERROR(INDEX('Level Growth'!$D$4:$D$12,MATCH(E52,'Level Growth'!$A$4:$A$12,0)),'Level Growth'!$D$12)*(F52-1)</f>
        <v>24</v>
      </c>
      <c r="U52" s="9">
        <f>I52+INT(F52/Constants!$C$52)</f>
        <v>11</v>
      </c>
      <c r="V52" s="9">
        <f>J52+IF(G52="horse",Constants!$C$45,0)</f>
        <v>3</v>
      </c>
      <c r="W52" s="14">
        <f>(O52+S52)*Constants!$C$3*IF(E52="Missionary",Constants!$C$4,1)</f>
        <v>24</v>
      </c>
      <c r="X52" s="15">
        <f>MIN(Constants!$C$8,MAX(Constants!$C$7,Constants!$C$5+R52*Constants!$C$6))</f>
        <v>0.74</v>
      </c>
      <c r="Y52" s="14">
        <f t="shared" si="3"/>
        <v>17.759999999999998</v>
      </c>
      <c r="Z52" s="15">
        <f>MIN(Constants!$C$16,MAX(Constants!$C$15,Constants!$C$13-T52*Constants!$C$17-IF(E52="Shieldbearer",Constants!$C$19,0)))</f>
        <v>0.80199999999999994</v>
      </c>
      <c r="AA52" s="15">
        <f>MIN(Constants!$C$24,Q52*Constants!$C$23)</f>
        <v>8.7999999999999995E-2</v>
      </c>
      <c r="AB52" s="15">
        <f>MIN(Constants!$C$36,Constants!$C$34+P52*Constants!$C$35)</f>
        <v>0.13800000000000001</v>
      </c>
      <c r="AC52" s="14">
        <f>Constants!$C$46/U52</f>
        <v>9.0909090909090917</v>
      </c>
      <c r="AD52" s="15">
        <f>IF(LEFT(C52,11)="Legionnaire",Constants!$C$40*0.5*MAX(0,1-(P52+Q52)/Constants!$C$41),"-")</f>
        <v>0.21199999999999999</v>
      </c>
      <c r="AE52" s="9">
        <f>IF(D52="Enemy",ROUNDUP(O52/Constants!$C$42,0),"-")</f>
        <v>10</v>
      </c>
    </row>
    <row r="53" spans="1:31" x14ac:dyDescent="0.25">
      <c r="A53" s="9" t="str">
        <f t="shared" si="2"/>
        <v>philippi - Legionnaire Shieldbearer 2</v>
      </c>
      <c r="B53" s="17" t="s">
        <v>145</v>
      </c>
      <c r="C53" s="17" t="s">
        <v>133</v>
      </c>
      <c r="D53" s="17" t="s">
        <v>103</v>
      </c>
      <c r="E53" s="17" t="s">
        <v>125</v>
      </c>
      <c r="F53" s="17">
        <v>3</v>
      </c>
      <c r="G53" s="17"/>
      <c r="H53" s="17" t="s">
        <v>126</v>
      </c>
      <c r="I53" s="17">
        <v>10</v>
      </c>
      <c r="J53" s="17">
        <v>3</v>
      </c>
      <c r="K53" s="17">
        <v>1</v>
      </c>
      <c r="L53" s="17">
        <v>0</v>
      </c>
      <c r="M53" s="17">
        <v>20</v>
      </c>
      <c r="N53" s="17">
        <v>18</v>
      </c>
      <c r="O53" s="17">
        <v>100</v>
      </c>
      <c r="P53" s="17">
        <v>26</v>
      </c>
      <c r="Q53" s="17">
        <v>17</v>
      </c>
      <c r="R53" s="17">
        <v>21</v>
      </c>
      <c r="S53" s="9">
        <f>M53+IFERROR(INDEX('Level Growth'!$C$4:$C$12,MATCH(E53,'Level Growth'!$A$4:$A$12,0)),'Level Growth'!$C$12)*(F53-1)</f>
        <v>20</v>
      </c>
      <c r="T53" s="9">
        <f>N53+IFERROR(INDEX('Level Growth'!$D$4:$D$12,MATCH(E53,'Level Growth'!$A$4:$A$12,0)),'Level Growth'!$D$12)*(F53-1)</f>
        <v>24</v>
      </c>
      <c r="U53" s="9">
        <f>I53+INT(F53/Constants!$C$52)</f>
        <v>10</v>
      </c>
      <c r="V53" s="9">
        <f>J53+IF(G53="horse",Constants!$C$45,0)</f>
        <v>3</v>
      </c>
      <c r="W53" s="14">
        <f>(O53+S53)*Constants!$C$3*IF(E53="Missionary",Constants!$C$4,1)</f>
        <v>24</v>
      </c>
      <c r="X53" s="15">
        <f>MIN(Constants!$C$8,MAX(Constants!$C$7,Constants!$C$5+R53*Constants!$C$6))</f>
        <v>0.76</v>
      </c>
      <c r="Y53" s="14">
        <f t="shared" si="3"/>
        <v>18.240000000000002</v>
      </c>
      <c r="Z53" s="15">
        <f>MIN(Constants!$C$16,MAX(Constants!$C$15,Constants!$C$13-T53*Constants!$C$17-IF(E53="Shieldbearer",Constants!$C$19,0)))</f>
        <v>0.65199999999999991</v>
      </c>
      <c r="AA53" s="15">
        <f>MIN(Constants!$C$24,Q53*Constants!$C$23)</f>
        <v>6.8000000000000005E-2</v>
      </c>
      <c r="AB53" s="15">
        <f>MIN(Constants!$C$36,Constants!$C$34+P53*Constants!$C$35)</f>
        <v>0.15400000000000003</v>
      </c>
      <c r="AC53" s="14">
        <f>Constants!$C$46/U53</f>
        <v>10</v>
      </c>
      <c r="AD53" s="15">
        <f>IF(LEFT(C53,11)="Legionnaire",Constants!$C$40*0.5*MAX(0,1-(P53+Q53)/Constants!$C$41),"-")</f>
        <v>0.214</v>
      </c>
      <c r="AE53" s="9">
        <f>IF(D53="Enemy",ROUNDUP(O53/Constants!$C$42,0),"-")</f>
        <v>10</v>
      </c>
    </row>
    <row r="54" spans="1:31" x14ac:dyDescent="0.25">
      <c r="A54" s="9" t="str">
        <f t="shared" si="2"/>
        <v>philippi - Legionnaire Archer 1</v>
      </c>
      <c r="B54" s="17" t="s">
        <v>145</v>
      </c>
      <c r="C54" s="17" t="s">
        <v>127</v>
      </c>
      <c r="D54" s="17" t="s">
        <v>103</v>
      </c>
      <c r="E54" s="17" t="s">
        <v>128</v>
      </c>
      <c r="F54" s="17">
        <v>3</v>
      </c>
      <c r="G54" s="17"/>
      <c r="H54" s="17" t="s">
        <v>146</v>
      </c>
      <c r="I54" s="17">
        <v>10</v>
      </c>
      <c r="J54" s="17">
        <v>3</v>
      </c>
      <c r="K54" s="17">
        <v>1</v>
      </c>
      <c r="L54" s="17">
        <v>0</v>
      </c>
      <c r="M54" s="17">
        <v>22</v>
      </c>
      <c r="N54" s="17">
        <v>24</v>
      </c>
      <c r="O54" s="17">
        <v>100</v>
      </c>
      <c r="P54" s="17">
        <v>18</v>
      </c>
      <c r="Q54" s="17">
        <v>24</v>
      </c>
      <c r="R54" s="17">
        <v>22</v>
      </c>
      <c r="S54" s="9">
        <f>M54+IFERROR(INDEX('Level Growth'!$C$4:$C$12,MATCH(E54,'Level Growth'!$A$4:$A$12,0)),'Level Growth'!$C$12)*(F54-1)</f>
        <v>24</v>
      </c>
      <c r="T54" s="9">
        <f>N54+IFERROR(INDEX('Level Growth'!$D$4:$D$12,MATCH(E54,'Level Growth'!$A$4:$A$12,0)),'Level Growth'!$D$12)*(F54-1)</f>
        <v>26</v>
      </c>
      <c r="U54" s="9">
        <f>I54+INT(F54/Constants!$C$52)</f>
        <v>10</v>
      </c>
      <c r="V54" s="9">
        <f>J54+IF(G54="horse",Constants!$C$45,0)</f>
        <v>3</v>
      </c>
      <c r="W54" s="14">
        <f>(O54+S54)*Constants!$C$3*IF(E54="Missionary",Constants!$C$4,1)</f>
        <v>24.8</v>
      </c>
      <c r="X54" s="15">
        <f>MIN(Constants!$C$8,MAX(Constants!$C$7,Constants!$C$5+R54*Constants!$C$6))</f>
        <v>0.77</v>
      </c>
      <c r="Y54" s="14">
        <f t="shared" si="3"/>
        <v>19.096</v>
      </c>
      <c r="Z54" s="15">
        <f>MIN(Constants!$C$16,MAX(Constants!$C$15,Constants!$C$13-T54*Constants!$C$17-IF(E54="Shieldbearer",Constants!$C$19,0)))</f>
        <v>0.79799999999999993</v>
      </c>
      <c r="AA54" s="15">
        <f>MIN(Constants!$C$24,Q54*Constants!$C$23)</f>
        <v>9.6000000000000002E-2</v>
      </c>
      <c r="AB54" s="15">
        <f>MIN(Constants!$C$36,Constants!$C$34+P54*Constants!$C$35)</f>
        <v>0.12200000000000001</v>
      </c>
      <c r="AC54" s="14">
        <f>Constants!$C$46/U54</f>
        <v>10</v>
      </c>
      <c r="AD54" s="15">
        <f>IF(LEFT(C54,11)="Legionnaire",Constants!$C$40*0.5*MAX(0,1-(P54+Q54)/Constants!$C$41),"-")</f>
        <v>0.216</v>
      </c>
      <c r="AE54" s="9">
        <f>IF(D54="Enemy",ROUNDUP(O54/Constants!$C$42,0),"-")</f>
        <v>10</v>
      </c>
    </row>
    <row r="55" spans="1:31" x14ac:dyDescent="0.25">
      <c r="A55" s="9" t="str">
        <f t="shared" si="2"/>
        <v>corinth - Paul</v>
      </c>
      <c r="B55" s="17" t="s">
        <v>147</v>
      </c>
      <c r="C55" s="17" t="s">
        <v>88</v>
      </c>
      <c r="D55" s="17" t="s">
        <v>89</v>
      </c>
      <c r="E55" s="17" t="s">
        <v>90</v>
      </c>
      <c r="F55" s="17">
        <v>1</v>
      </c>
      <c r="G55" s="17"/>
      <c r="H55" s="17" t="s">
        <v>114</v>
      </c>
      <c r="I55" s="17">
        <v>15</v>
      </c>
      <c r="J55" s="17">
        <v>4</v>
      </c>
      <c r="K55" s="17">
        <v>2</v>
      </c>
      <c r="L55" s="17">
        <v>100</v>
      </c>
      <c r="M55" s="17">
        <v>25</v>
      </c>
      <c r="N55" s="17">
        <v>6</v>
      </c>
      <c r="O55" s="17">
        <v>129</v>
      </c>
      <c r="P55" s="17">
        <v>24</v>
      </c>
      <c r="Q55" s="17">
        <v>3</v>
      </c>
      <c r="R55" s="17">
        <v>20</v>
      </c>
      <c r="S55" s="9">
        <f>M55+IFERROR(INDEX('Level Growth'!$C$4:$C$12,MATCH(E55,'Level Growth'!$A$4:$A$12,0)),'Level Growth'!$C$12)*(F55-1)</f>
        <v>25</v>
      </c>
      <c r="T55" s="9">
        <f>N55+IFERROR(INDEX('Level Growth'!$D$4:$D$12,MATCH(E55,'Level Growth'!$A$4:$A$12,0)),'Level Growth'!$D$12)*(F55-1)</f>
        <v>6</v>
      </c>
      <c r="U55" s="9">
        <f>I55+INT(F55/Constants!$C$52)</f>
        <v>15</v>
      </c>
      <c r="V55" s="9">
        <f>J55+IF(G55="horse",Constants!$C$45,0)</f>
        <v>4</v>
      </c>
      <c r="W55" s="14">
        <f>(O55+S55)*Constants!$C$3*IF(E55="Missionary",Constants!$C$4,1)</f>
        <v>46.2</v>
      </c>
      <c r="X55" s="15">
        <f>MIN(Constants!$C$8,MAX(Constants!$C$7,Constants!$C$5+R55*Constants!$C$6))</f>
        <v>0.75</v>
      </c>
      <c r="Y55" s="14">
        <f t="shared" si="3"/>
        <v>34.650000000000006</v>
      </c>
      <c r="Z55" s="15">
        <f>MIN(Constants!$C$16,MAX(Constants!$C$15,Constants!$C$13-T55*Constants!$C$17-IF(E55="Shieldbearer",Constants!$C$19,0)))</f>
        <v>0.83799999999999997</v>
      </c>
      <c r="AA55" s="15">
        <f>MIN(Constants!$C$24,Q55*Constants!$C$23)</f>
        <v>1.2E-2</v>
      </c>
      <c r="AB55" s="15">
        <f>MIN(Constants!$C$36,Constants!$C$34+P55*Constants!$C$35)</f>
        <v>0.14600000000000002</v>
      </c>
      <c r="AC55" s="14">
        <f>Constants!$C$46/U55</f>
        <v>6.666666666666667</v>
      </c>
      <c r="AD55" s="15" t="str">
        <f>IF(LEFT(C55,11)="Legionnaire",Constants!$C$40*0.5*MAX(0,1-(P55+Q55)/Constants!$C$41),"-")</f>
        <v>-</v>
      </c>
      <c r="AE55" s="9" t="str">
        <f>IF(D55="Enemy",ROUNDUP(O55/Constants!$C$42,0),"-")</f>
        <v>-</v>
      </c>
    </row>
    <row r="56" spans="1:31" x14ac:dyDescent="0.25">
      <c r="A56" s="9" t="str">
        <f t="shared" si="2"/>
        <v>corinth - Peter</v>
      </c>
      <c r="B56" s="17" t="s">
        <v>147</v>
      </c>
      <c r="C56" s="17" t="s">
        <v>115</v>
      </c>
      <c r="D56" s="17" t="s">
        <v>89</v>
      </c>
      <c r="E56" s="17" t="s">
        <v>116</v>
      </c>
      <c r="F56" s="17">
        <v>1</v>
      </c>
      <c r="G56" s="17"/>
      <c r="H56" s="17" t="s">
        <v>117</v>
      </c>
      <c r="I56" s="17">
        <v>12</v>
      </c>
      <c r="J56" s="17">
        <v>3</v>
      </c>
      <c r="K56" s="17">
        <v>1</v>
      </c>
      <c r="L56" s="17">
        <v>20</v>
      </c>
      <c r="M56" s="17">
        <v>10</v>
      </c>
      <c r="N56" s="17">
        <v>28</v>
      </c>
      <c r="O56" s="17">
        <v>122</v>
      </c>
      <c r="P56" s="17">
        <v>6</v>
      </c>
      <c r="Q56" s="17">
        <v>32</v>
      </c>
      <c r="R56" s="17">
        <v>25</v>
      </c>
      <c r="S56" s="9">
        <f>M56+IFERROR(INDEX('Level Growth'!$C$4:$C$12,MATCH(E56,'Level Growth'!$A$4:$A$12,0)),'Level Growth'!$C$12)*(F56-1)</f>
        <v>10</v>
      </c>
      <c r="T56" s="9">
        <f>N56+IFERROR(INDEX('Level Growth'!$D$4:$D$12,MATCH(E56,'Level Growth'!$A$4:$A$12,0)),'Level Growth'!$D$12)*(F56-1)</f>
        <v>28</v>
      </c>
      <c r="U56" s="9">
        <f>I56+INT(F56/Constants!$C$52)</f>
        <v>12</v>
      </c>
      <c r="V56" s="9">
        <f>J56+IF(G56="horse",Constants!$C$45,0)</f>
        <v>3</v>
      </c>
      <c r="W56" s="14">
        <f>(O56+S56)*Constants!$C$3*IF(E56="Missionary",Constants!$C$4,1)</f>
        <v>26.400000000000002</v>
      </c>
      <c r="X56" s="15">
        <f>MIN(Constants!$C$8,MAX(Constants!$C$7,Constants!$C$5+R56*Constants!$C$6))</f>
        <v>0.8</v>
      </c>
      <c r="Y56" s="14">
        <f t="shared" si="3"/>
        <v>21.120000000000005</v>
      </c>
      <c r="Z56" s="15">
        <f>MIN(Constants!$C$16,MAX(Constants!$C$15,Constants!$C$13-T56*Constants!$C$17-IF(E56="Shieldbearer",Constants!$C$19,0)))</f>
        <v>0.79399999999999993</v>
      </c>
      <c r="AA56" s="15">
        <f>MIN(Constants!$C$24,Q56*Constants!$C$23)</f>
        <v>0.128</v>
      </c>
      <c r="AB56" s="15">
        <f>MIN(Constants!$C$36,Constants!$C$34+P56*Constants!$C$35)</f>
        <v>7.400000000000001E-2</v>
      </c>
      <c r="AC56" s="14">
        <f>Constants!$C$46/U56</f>
        <v>8.3333333333333339</v>
      </c>
      <c r="AD56" s="15" t="str">
        <f>IF(LEFT(C56,11)="Legionnaire",Constants!$C$40*0.5*MAX(0,1-(P56+Q56)/Constants!$C$41),"-")</f>
        <v>-</v>
      </c>
      <c r="AE56" s="9" t="str">
        <f>IF(D56="Enemy",ROUNDUP(O56/Constants!$C$42,0),"-")</f>
        <v>-</v>
      </c>
    </row>
    <row r="57" spans="1:31" x14ac:dyDescent="0.25">
      <c r="A57" s="9" t="str">
        <f t="shared" si="2"/>
        <v>corinth - Barnabas</v>
      </c>
      <c r="B57" s="17" t="s">
        <v>147</v>
      </c>
      <c r="C57" s="17" t="s">
        <v>118</v>
      </c>
      <c r="D57" s="17" t="s">
        <v>89</v>
      </c>
      <c r="E57" s="17" t="s">
        <v>116</v>
      </c>
      <c r="F57" s="17">
        <v>1</v>
      </c>
      <c r="G57" s="17"/>
      <c r="H57" s="17" t="s">
        <v>119</v>
      </c>
      <c r="I57" s="17">
        <v>11</v>
      </c>
      <c r="J57" s="17">
        <v>3</v>
      </c>
      <c r="K57" s="17">
        <v>1</v>
      </c>
      <c r="L57" s="17">
        <v>15</v>
      </c>
      <c r="M57" s="17">
        <v>38</v>
      </c>
      <c r="N57" s="17">
        <v>48</v>
      </c>
      <c r="O57" s="17">
        <v>150</v>
      </c>
      <c r="P57" s="17">
        <v>40</v>
      </c>
      <c r="Q57" s="17">
        <v>33</v>
      </c>
      <c r="R57" s="17">
        <v>21</v>
      </c>
      <c r="S57" s="9">
        <f>M57+IFERROR(INDEX('Level Growth'!$C$4:$C$12,MATCH(E57,'Level Growth'!$A$4:$A$12,0)),'Level Growth'!$C$12)*(F57-1)</f>
        <v>38</v>
      </c>
      <c r="T57" s="9">
        <f>N57+IFERROR(INDEX('Level Growth'!$D$4:$D$12,MATCH(E57,'Level Growth'!$A$4:$A$12,0)),'Level Growth'!$D$12)*(F57-1)</f>
        <v>48</v>
      </c>
      <c r="U57" s="9">
        <f>I57+INT(F57/Constants!$C$52)</f>
        <v>11</v>
      </c>
      <c r="V57" s="9">
        <f>J57+IF(G57="horse",Constants!$C$45,0)</f>
        <v>3</v>
      </c>
      <c r="W57" s="14">
        <f>(O57+S57)*Constants!$C$3*IF(E57="Missionary",Constants!$C$4,1)</f>
        <v>37.6</v>
      </c>
      <c r="X57" s="15">
        <f>MIN(Constants!$C$8,MAX(Constants!$C$7,Constants!$C$5+R57*Constants!$C$6))</f>
        <v>0.76</v>
      </c>
      <c r="Y57" s="14">
        <f t="shared" si="3"/>
        <v>28.576000000000001</v>
      </c>
      <c r="Z57" s="15">
        <f>MIN(Constants!$C$16,MAX(Constants!$C$15,Constants!$C$13-T57*Constants!$C$17-IF(E57="Shieldbearer",Constants!$C$19,0)))</f>
        <v>0.754</v>
      </c>
      <c r="AA57" s="15">
        <f>MIN(Constants!$C$24,Q57*Constants!$C$23)</f>
        <v>0.13200000000000001</v>
      </c>
      <c r="AB57" s="15">
        <f>MIN(Constants!$C$36,Constants!$C$34+P57*Constants!$C$35)</f>
        <v>0.21000000000000002</v>
      </c>
      <c r="AC57" s="14">
        <f>Constants!$C$46/U57</f>
        <v>9.0909090909090917</v>
      </c>
      <c r="AD57" s="15" t="str">
        <f>IF(LEFT(C57,11)="Legionnaire",Constants!$C$40*0.5*MAX(0,1-(P57+Q57)/Constants!$C$41),"-")</f>
        <v>-</v>
      </c>
      <c r="AE57" s="9" t="str">
        <f>IF(D57="Enemy",ROUNDUP(O57/Constants!$C$42,0),"-")</f>
        <v>-</v>
      </c>
    </row>
    <row r="58" spans="1:31" x14ac:dyDescent="0.25">
      <c r="A58" s="9" t="str">
        <f t="shared" si="2"/>
        <v>corinth - Mark</v>
      </c>
      <c r="B58" s="17" t="s">
        <v>147</v>
      </c>
      <c r="C58" s="17" t="s">
        <v>120</v>
      </c>
      <c r="D58" s="17" t="s">
        <v>89</v>
      </c>
      <c r="E58" s="17" t="s">
        <v>116</v>
      </c>
      <c r="F58" s="17">
        <v>1</v>
      </c>
      <c r="G58" s="17"/>
      <c r="H58" s="17" t="s">
        <v>121</v>
      </c>
      <c r="I58" s="17">
        <v>13</v>
      </c>
      <c r="J58" s="17">
        <v>3</v>
      </c>
      <c r="K58" s="17">
        <v>1</v>
      </c>
      <c r="L58" s="17">
        <v>10</v>
      </c>
      <c r="M58" s="17">
        <v>12</v>
      </c>
      <c r="N58" s="17">
        <v>16</v>
      </c>
      <c r="O58" s="17">
        <v>118</v>
      </c>
      <c r="P58" s="17">
        <v>41</v>
      </c>
      <c r="Q58" s="17">
        <v>26</v>
      </c>
      <c r="R58" s="17">
        <v>45</v>
      </c>
      <c r="S58" s="9">
        <f>M58+IFERROR(INDEX('Level Growth'!$C$4:$C$12,MATCH(E58,'Level Growth'!$A$4:$A$12,0)),'Level Growth'!$C$12)*(F58-1)</f>
        <v>12</v>
      </c>
      <c r="T58" s="9">
        <f>N58+IFERROR(INDEX('Level Growth'!$D$4:$D$12,MATCH(E58,'Level Growth'!$A$4:$A$12,0)),'Level Growth'!$D$12)*(F58-1)</f>
        <v>16</v>
      </c>
      <c r="U58" s="9">
        <f>I58+INT(F58/Constants!$C$52)</f>
        <v>13</v>
      </c>
      <c r="V58" s="9">
        <f>J58+IF(G58="horse",Constants!$C$45,0)</f>
        <v>3</v>
      </c>
      <c r="W58" s="14">
        <f>(O58+S58)*Constants!$C$3*IF(E58="Missionary",Constants!$C$4,1)</f>
        <v>26</v>
      </c>
      <c r="X58" s="15">
        <f>MIN(Constants!$C$8,MAX(Constants!$C$7,Constants!$C$5+R58*Constants!$C$6))</f>
        <v>0.98</v>
      </c>
      <c r="Y58" s="14">
        <f t="shared" si="3"/>
        <v>25.48</v>
      </c>
      <c r="Z58" s="15">
        <f>MIN(Constants!$C$16,MAX(Constants!$C$15,Constants!$C$13-T58*Constants!$C$17-IF(E58="Shieldbearer",Constants!$C$19,0)))</f>
        <v>0.81799999999999995</v>
      </c>
      <c r="AA58" s="15">
        <f>MIN(Constants!$C$24,Q58*Constants!$C$23)</f>
        <v>0.10400000000000001</v>
      </c>
      <c r="AB58" s="15">
        <f>MIN(Constants!$C$36,Constants!$C$34+P58*Constants!$C$35)</f>
        <v>0.21400000000000002</v>
      </c>
      <c r="AC58" s="14">
        <f>Constants!$C$46/U58</f>
        <v>7.6923076923076925</v>
      </c>
      <c r="AD58" s="15" t="str">
        <f>IF(LEFT(C58,11)="Legionnaire",Constants!$C$40*0.5*MAX(0,1-(P58+Q58)/Constants!$C$41),"-")</f>
        <v>-</v>
      </c>
      <c r="AE58" s="9" t="str">
        <f>IF(D58="Enemy",ROUNDUP(O58/Constants!$C$42,0),"-")</f>
        <v>-</v>
      </c>
    </row>
    <row r="59" spans="1:31" x14ac:dyDescent="0.25">
      <c r="A59" s="9" t="str">
        <f t="shared" si="2"/>
        <v>corinth - John</v>
      </c>
      <c r="B59" s="17" t="s">
        <v>147</v>
      </c>
      <c r="C59" s="17" t="s">
        <v>122</v>
      </c>
      <c r="D59" s="17" t="s">
        <v>89</v>
      </c>
      <c r="E59" s="17" t="s">
        <v>116</v>
      </c>
      <c r="F59" s="17">
        <v>1</v>
      </c>
      <c r="G59" s="17"/>
      <c r="H59" s="17" t="s">
        <v>123</v>
      </c>
      <c r="I59" s="17">
        <v>11</v>
      </c>
      <c r="J59" s="17">
        <v>3</v>
      </c>
      <c r="K59" s="17">
        <v>1</v>
      </c>
      <c r="L59" s="17">
        <v>50</v>
      </c>
      <c r="M59" s="17">
        <v>31</v>
      </c>
      <c r="N59" s="17">
        <v>26</v>
      </c>
      <c r="O59" s="17">
        <v>113</v>
      </c>
      <c r="P59" s="17">
        <v>19</v>
      </c>
      <c r="Q59" s="17">
        <v>13</v>
      </c>
      <c r="R59" s="17">
        <v>34</v>
      </c>
      <c r="S59" s="9">
        <f>M59+IFERROR(INDEX('Level Growth'!$C$4:$C$12,MATCH(E59,'Level Growth'!$A$4:$A$12,0)),'Level Growth'!$C$12)*(F59-1)</f>
        <v>31</v>
      </c>
      <c r="T59" s="9">
        <f>N59+IFERROR(INDEX('Level Growth'!$D$4:$D$12,MATCH(E59,'Level Growth'!$A$4:$A$12,0)),'Level Growth'!$D$12)*(F59-1)</f>
        <v>26</v>
      </c>
      <c r="U59" s="9">
        <f>I59+INT(F59/Constants!$C$52)</f>
        <v>11</v>
      </c>
      <c r="V59" s="9">
        <f>J59+IF(G59="horse",Constants!$C$45,0)</f>
        <v>3</v>
      </c>
      <c r="W59" s="14">
        <f>(O59+S59)*Constants!$C$3*IF(E59="Missionary",Constants!$C$4,1)</f>
        <v>28.8</v>
      </c>
      <c r="X59" s="15">
        <f>MIN(Constants!$C$8,MAX(Constants!$C$7,Constants!$C$5+R59*Constants!$C$6))</f>
        <v>0.89000000000000012</v>
      </c>
      <c r="Y59" s="14">
        <f t="shared" si="3"/>
        <v>25.632000000000005</v>
      </c>
      <c r="Z59" s="15">
        <f>MIN(Constants!$C$16,MAX(Constants!$C$15,Constants!$C$13-T59*Constants!$C$17-IF(E59="Shieldbearer",Constants!$C$19,0)))</f>
        <v>0.79799999999999993</v>
      </c>
      <c r="AA59" s="15">
        <f>MIN(Constants!$C$24,Q59*Constants!$C$23)</f>
        <v>5.2000000000000005E-2</v>
      </c>
      <c r="AB59" s="15">
        <f>MIN(Constants!$C$36,Constants!$C$34+P59*Constants!$C$35)</f>
        <v>0.126</v>
      </c>
      <c r="AC59" s="14">
        <f>Constants!$C$46/U59</f>
        <v>9.0909090909090917</v>
      </c>
      <c r="AD59" s="15" t="str">
        <f>IF(LEFT(C59,11)="Legionnaire",Constants!$C$40*0.5*MAX(0,1-(P59+Q59)/Constants!$C$41),"-")</f>
        <v>-</v>
      </c>
      <c r="AE59" s="9" t="str">
        <f>IF(D59="Enemy",ROUNDUP(O59/Constants!$C$42,0),"-")</f>
        <v>-</v>
      </c>
    </row>
    <row r="60" spans="1:31" x14ac:dyDescent="0.25">
      <c r="A60" s="9" t="str">
        <f t="shared" si="2"/>
        <v>corinth - Philip</v>
      </c>
      <c r="B60" s="17" t="s">
        <v>147</v>
      </c>
      <c r="C60" s="17" t="s">
        <v>137</v>
      </c>
      <c r="D60" s="17" t="s">
        <v>89</v>
      </c>
      <c r="E60" s="17" t="s">
        <v>116</v>
      </c>
      <c r="F60" s="17">
        <v>1</v>
      </c>
      <c r="G60" s="17"/>
      <c r="H60" s="17" t="s">
        <v>138</v>
      </c>
      <c r="I60" s="17">
        <v>10</v>
      </c>
      <c r="J60" s="17">
        <v>2</v>
      </c>
      <c r="K60" s="17">
        <v>1</v>
      </c>
      <c r="L60" s="17">
        <v>30</v>
      </c>
      <c r="M60" s="17">
        <v>32</v>
      </c>
      <c r="N60" s="17">
        <v>27</v>
      </c>
      <c r="O60" s="17">
        <v>138</v>
      </c>
      <c r="P60" s="17">
        <v>20</v>
      </c>
      <c r="Q60" s="17">
        <v>36</v>
      </c>
      <c r="R60" s="17">
        <v>31</v>
      </c>
      <c r="S60" s="9">
        <f>M60+IFERROR(INDEX('Level Growth'!$C$4:$C$12,MATCH(E60,'Level Growth'!$A$4:$A$12,0)),'Level Growth'!$C$12)*(F60-1)</f>
        <v>32</v>
      </c>
      <c r="T60" s="9">
        <f>N60+IFERROR(INDEX('Level Growth'!$D$4:$D$12,MATCH(E60,'Level Growth'!$A$4:$A$12,0)),'Level Growth'!$D$12)*(F60-1)</f>
        <v>27</v>
      </c>
      <c r="U60" s="9">
        <f>I60+INT(F60/Constants!$C$52)</f>
        <v>10</v>
      </c>
      <c r="V60" s="9">
        <f>J60+IF(G60="horse",Constants!$C$45,0)</f>
        <v>2</v>
      </c>
      <c r="W60" s="14">
        <f>(O60+S60)*Constants!$C$3*IF(E60="Missionary",Constants!$C$4,1)</f>
        <v>34</v>
      </c>
      <c r="X60" s="15">
        <f>MIN(Constants!$C$8,MAX(Constants!$C$7,Constants!$C$5+R60*Constants!$C$6))</f>
        <v>0.8600000000000001</v>
      </c>
      <c r="Y60" s="14">
        <f t="shared" si="3"/>
        <v>29.240000000000002</v>
      </c>
      <c r="Z60" s="15">
        <f>MIN(Constants!$C$16,MAX(Constants!$C$15,Constants!$C$13-T60*Constants!$C$17-IF(E60="Shieldbearer",Constants!$C$19,0)))</f>
        <v>0.79599999999999993</v>
      </c>
      <c r="AA60" s="15">
        <f>MIN(Constants!$C$24,Q60*Constants!$C$23)</f>
        <v>0.14400000000000002</v>
      </c>
      <c r="AB60" s="15">
        <f>MIN(Constants!$C$36,Constants!$C$34+P60*Constants!$C$35)</f>
        <v>0.13</v>
      </c>
      <c r="AC60" s="14">
        <f>Constants!$C$46/U60</f>
        <v>10</v>
      </c>
      <c r="AD60" s="15" t="str">
        <f>IF(LEFT(C60,11)="Legionnaire",Constants!$C$40*0.5*MAX(0,1-(P60+Q60)/Constants!$C$41),"-")</f>
        <v>-</v>
      </c>
      <c r="AE60" s="9" t="str">
        <f>IF(D60="Enemy",ROUNDUP(O60/Constants!$C$42,0),"-")</f>
        <v>-</v>
      </c>
    </row>
    <row r="61" spans="1:31" x14ac:dyDescent="0.25">
      <c r="A61" s="9" t="str">
        <f t="shared" si="2"/>
        <v>corinth - Timothy</v>
      </c>
      <c r="B61" s="17" t="s">
        <v>147</v>
      </c>
      <c r="C61" s="17" t="s">
        <v>139</v>
      </c>
      <c r="D61" s="17" t="s">
        <v>89</v>
      </c>
      <c r="E61" s="17" t="s">
        <v>116</v>
      </c>
      <c r="F61" s="17">
        <v>1</v>
      </c>
      <c r="G61" s="17"/>
      <c r="H61" s="17" t="s">
        <v>121</v>
      </c>
      <c r="I61" s="17">
        <v>11</v>
      </c>
      <c r="J61" s="17">
        <v>3</v>
      </c>
      <c r="K61" s="17">
        <v>1</v>
      </c>
      <c r="L61" s="17">
        <v>0</v>
      </c>
      <c r="M61" s="17">
        <v>14</v>
      </c>
      <c r="N61" s="17">
        <v>20</v>
      </c>
      <c r="O61" s="17">
        <v>128</v>
      </c>
      <c r="P61" s="17">
        <v>30</v>
      </c>
      <c r="Q61" s="17">
        <v>24</v>
      </c>
      <c r="R61" s="17">
        <v>30</v>
      </c>
      <c r="S61" s="9">
        <f>M61+IFERROR(INDEX('Level Growth'!$C$4:$C$12,MATCH(E61,'Level Growth'!$A$4:$A$12,0)),'Level Growth'!$C$12)*(F61-1)</f>
        <v>14</v>
      </c>
      <c r="T61" s="9">
        <f>N61+IFERROR(INDEX('Level Growth'!$D$4:$D$12,MATCH(E61,'Level Growth'!$A$4:$A$12,0)),'Level Growth'!$D$12)*(F61-1)</f>
        <v>20</v>
      </c>
      <c r="U61" s="9">
        <f>I61+INT(F61/Constants!$C$52)</f>
        <v>11</v>
      </c>
      <c r="V61" s="9">
        <f>J61+IF(G61="horse",Constants!$C$45,0)</f>
        <v>3</v>
      </c>
      <c r="W61" s="14">
        <f>(O61+S61)*Constants!$C$3*IF(E61="Missionary",Constants!$C$4,1)</f>
        <v>28.400000000000002</v>
      </c>
      <c r="X61" s="15">
        <f>MIN(Constants!$C$8,MAX(Constants!$C$7,Constants!$C$5+R61*Constants!$C$6))</f>
        <v>0.85000000000000009</v>
      </c>
      <c r="Y61" s="14">
        <f t="shared" si="3"/>
        <v>24.140000000000004</v>
      </c>
      <c r="Z61" s="15">
        <f>MIN(Constants!$C$16,MAX(Constants!$C$15,Constants!$C$13-T61*Constants!$C$17-IF(E61="Shieldbearer",Constants!$C$19,0)))</f>
        <v>0.80999999999999994</v>
      </c>
      <c r="AA61" s="15">
        <f>MIN(Constants!$C$24,Q61*Constants!$C$23)</f>
        <v>9.6000000000000002E-2</v>
      </c>
      <c r="AB61" s="15">
        <f>MIN(Constants!$C$36,Constants!$C$34+P61*Constants!$C$35)</f>
        <v>0.16999999999999998</v>
      </c>
      <c r="AC61" s="14">
        <f>Constants!$C$46/U61</f>
        <v>9.0909090909090917</v>
      </c>
      <c r="AD61" s="15" t="str">
        <f>IF(LEFT(C61,11)="Legionnaire",Constants!$C$40*0.5*MAX(0,1-(P61+Q61)/Constants!$C$41),"-")</f>
        <v>-</v>
      </c>
      <c r="AE61" s="9" t="str">
        <f>IF(D61="Enemy",ROUNDUP(O61/Constants!$C$42,0),"-")</f>
        <v>-</v>
      </c>
    </row>
    <row r="62" spans="1:31" x14ac:dyDescent="0.25">
      <c r="A62" s="9" t="str">
        <f t="shared" si="2"/>
        <v>corinth - Luke</v>
      </c>
      <c r="B62" s="17" t="s">
        <v>147</v>
      </c>
      <c r="C62" s="17" t="s">
        <v>140</v>
      </c>
      <c r="D62" s="17" t="s">
        <v>89</v>
      </c>
      <c r="E62" s="17" t="s">
        <v>116</v>
      </c>
      <c r="F62" s="17">
        <v>1</v>
      </c>
      <c r="G62" s="17"/>
      <c r="H62" s="17" t="s">
        <v>105</v>
      </c>
      <c r="I62" s="17">
        <v>10</v>
      </c>
      <c r="J62" s="17">
        <v>2</v>
      </c>
      <c r="K62" s="17">
        <v>1</v>
      </c>
      <c r="L62" s="17">
        <v>25</v>
      </c>
      <c r="M62" s="17">
        <v>38</v>
      </c>
      <c r="N62" s="17">
        <v>32</v>
      </c>
      <c r="O62" s="17">
        <v>120</v>
      </c>
      <c r="P62" s="17">
        <v>41</v>
      </c>
      <c r="Q62" s="17">
        <v>32</v>
      </c>
      <c r="R62" s="17">
        <v>28</v>
      </c>
      <c r="S62" s="9">
        <f>M62+IFERROR(INDEX('Level Growth'!$C$4:$C$12,MATCH(E62,'Level Growth'!$A$4:$A$12,0)),'Level Growth'!$C$12)*(F62-1)</f>
        <v>38</v>
      </c>
      <c r="T62" s="9">
        <f>N62+IFERROR(INDEX('Level Growth'!$D$4:$D$12,MATCH(E62,'Level Growth'!$A$4:$A$12,0)),'Level Growth'!$D$12)*(F62-1)</f>
        <v>32</v>
      </c>
      <c r="U62" s="9">
        <f>I62+INT(F62/Constants!$C$52)</f>
        <v>10</v>
      </c>
      <c r="V62" s="9">
        <f>J62+IF(G62="horse",Constants!$C$45,0)</f>
        <v>2</v>
      </c>
      <c r="W62" s="14">
        <f>(O62+S62)*Constants!$C$3*IF(E62="Missionary",Constants!$C$4,1)</f>
        <v>31.6</v>
      </c>
      <c r="X62" s="15">
        <f>MIN(Constants!$C$8,MAX(Constants!$C$7,Constants!$C$5+R62*Constants!$C$6))</f>
        <v>0.83000000000000007</v>
      </c>
      <c r="Y62" s="14">
        <f t="shared" si="3"/>
        <v>26.228000000000005</v>
      </c>
      <c r="Z62" s="15">
        <f>MIN(Constants!$C$16,MAX(Constants!$C$15,Constants!$C$13-T62*Constants!$C$17-IF(E62="Shieldbearer",Constants!$C$19,0)))</f>
        <v>0.78600000000000003</v>
      </c>
      <c r="AA62" s="15">
        <f>MIN(Constants!$C$24,Q62*Constants!$C$23)</f>
        <v>0.128</v>
      </c>
      <c r="AB62" s="15">
        <f>MIN(Constants!$C$36,Constants!$C$34+P62*Constants!$C$35)</f>
        <v>0.21400000000000002</v>
      </c>
      <c r="AC62" s="14">
        <f>Constants!$C$46/U62</f>
        <v>10</v>
      </c>
      <c r="AD62" s="15" t="str">
        <f>IF(LEFT(C62,11)="Legionnaire",Constants!$C$40*0.5*MAX(0,1-(P62+Q62)/Constants!$C$41),"-")</f>
        <v>-</v>
      </c>
      <c r="AE62" s="9" t="str">
        <f>IF(D62="Enemy",ROUNDUP(O62/Constants!$C$42,0),"-")</f>
        <v>-</v>
      </c>
    </row>
    <row r="63" spans="1:31" x14ac:dyDescent="0.25">
      <c r="A63" s="9" t="str">
        <f t="shared" si="2"/>
        <v>corinth - Titus</v>
      </c>
      <c r="B63" s="17" t="s">
        <v>147</v>
      </c>
      <c r="C63" s="17" t="s">
        <v>141</v>
      </c>
      <c r="D63" s="17" t="s">
        <v>89</v>
      </c>
      <c r="E63" s="17" t="s">
        <v>116</v>
      </c>
      <c r="F63" s="17">
        <v>1</v>
      </c>
      <c r="G63" s="17"/>
      <c r="H63" s="17" t="s">
        <v>138</v>
      </c>
      <c r="I63" s="17">
        <v>12</v>
      </c>
      <c r="J63" s="17">
        <v>3</v>
      </c>
      <c r="K63" s="17">
        <v>1</v>
      </c>
      <c r="L63" s="17">
        <v>0</v>
      </c>
      <c r="M63" s="17">
        <v>22</v>
      </c>
      <c r="N63" s="17">
        <v>14</v>
      </c>
      <c r="O63" s="17">
        <v>132</v>
      </c>
      <c r="P63" s="17">
        <v>16</v>
      </c>
      <c r="Q63" s="17">
        <v>25</v>
      </c>
      <c r="R63" s="17">
        <v>27</v>
      </c>
      <c r="S63" s="9">
        <f>M63+IFERROR(INDEX('Level Growth'!$C$4:$C$12,MATCH(E63,'Level Growth'!$A$4:$A$12,0)),'Level Growth'!$C$12)*(F63-1)</f>
        <v>22</v>
      </c>
      <c r="T63" s="9">
        <f>N63+IFERROR(INDEX('Level Growth'!$D$4:$D$12,MATCH(E63,'Level Growth'!$A$4:$A$12,0)),'Level Growth'!$D$12)*(F63-1)</f>
        <v>14</v>
      </c>
      <c r="U63" s="9">
        <f>I63+INT(F63/Constants!$C$52)</f>
        <v>12</v>
      </c>
      <c r="V63" s="9">
        <f>J63+IF(G63="horse",Constants!$C$45,0)</f>
        <v>3</v>
      </c>
      <c r="W63" s="14">
        <f>(O63+S63)*Constants!$C$3*IF(E63="Missionary",Constants!$C$4,1)</f>
        <v>30.8</v>
      </c>
      <c r="X63" s="15">
        <f>MIN(Constants!$C$8,MAX(Constants!$C$7,Constants!$C$5+R63*Constants!$C$6))</f>
        <v>0.82000000000000006</v>
      </c>
      <c r="Y63" s="14">
        <f t="shared" si="3"/>
        <v>25.256000000000004</v>
      </c>
      <c r="Z63" s="15">
        <f>MIN(Constants!$C$16,MAX(Constants!$C$15,Constants!$C$13-T63*Constants!$C$17-IF(E63="Shieldbearer",Constants!$C$19,0)))</f>
        <v>0.82199999999999995</v>
      </c>
      <c r="AA63" s="15">
        <f>MIN(Constants!$C$24,Q63*Constants!$C$23)</f>
        <v>0.1</v>
      </c>
      <c r="AB63" s="15">
        <f>MIN(Constants!$C$36,Constants!$C$34+P63*Constants!$C$35)</f>
        <v>0.114</v>
      </c>
      <c r="AC63" s="14">
        <f>Constants!$C$46/U63</f>
        <v>8.3333333333333339</v>
      </c>
      <c r="AD63" s="15" t="str">
        <f>IF(LEFT(C63,11)="Legionnaire",Constants!$C$40*0.5*MAX(0,1-(P63+Q63)/Constants!$C$41),"-")</f>
        <v>-</v>
      </c>
      <c r="AE63" s="9" t="str">
        <f>IF(D63="Enemy",ROUNDUP(O63/Constants!$C$42,0),"-")</f>
        <v>-</v>
      </c>
    </row>
    <row r="64" spans="1:31" x14ac:dyDescent="0.25">
      <c r="A64" s="9" t="str">
        <f t="shared" si="2"/>
        <v>corinth - Silas</v>
      </c>
      <c r="B64" s="17" t="s">
        <v>147</v>
      </c>
      <c r="C64" s="17" t="s">
        <v>142</v>
      </c>
      <c r="D64" s="17" t="s">
        <v>89</v>
      </c>
      <c r="E64" s="17" t="s">
        <v>116</v>
      </c>
      <c r="F64" s="17">
        <v>1</v>
      </c>
      <c r="G64" s="17"/>
      <c r="H64" s="17" t="s">
        <v>111</v>
      </c>
      <c r="I64" s="17">
        <v>11</v>
      </c>
      <c r="J64" s="17">
        <v>3</v>
      </c>
      <c r="K64" s="17">
        <v>1</v>
      </c>
      <c r="L64" s="17">
        <v>0</v>
      </c>
      <c r="M64" s="17">
        <v>15</v>
      </c>
      <c r="N64" s="17">
        <v>20</v>
      </c>
      <c r="O64" s="17">
        <v>119</v>
      </c>
      <c r="P64" s="17">
        <v>29</v>
      </c>
      <c r="Q64" s="17">
        <v>32</v>
      </c>
      <c r="R64" s="17">
        <v>25</v>
      </c>
      <c r="S64" s="9">
        <f>M64+IFERROR(INDEX('Level Growth'!$C$4:$C$12,MATCH(E64,'Level Growth'!$A$4:$A$12,0)),'Level Growth'!$C$12)*(F64-1)</f>
        <v>15</v>
      </c>
      <c r="T64" s="9">
        <f>N64+IFERROR(INDEX('Level Growth'!$D$4:$D$12,MATCH(E64,'Level Growth'!$A$4:$A$12,0)),'Level Growth'!$D$12)*(F64-1)</f>
        <v>20</v>
      </c>
      <c r="U64" s="9">
        <f>I64+INT(F64/Constants!$C$52)</f>
        <v>11</v>
      </c>
      <c r="V64" s="9">
        <f>J64+IF(G64="horse",Constants!$C$45,0)</f>
        <v>3</v>
      </c>
      <c r="W64" s="14">
        <f>(O64+S64)*Constants!$C$3*IF(E64="Missionary",Constants!$C$4,1)</f>
        <v>26.8</v>
      </c>
      <c r="X64" s="15">
        <f>MIN(Constants!$C$8,MAX(Constants!$C$7,Constants!$C$5+R64*Constants!$C$6))</f>
        <v>0.8</v>
      </c>
      <c r="Y64" s="14">
        <f t="shared" si="3"/>
        <v>21.44</v>
      </c>
      <c r="Z64" s="15">
        <f>MIN(Constants!$C$16,MAX(Constants!$C$15,Constants!$C$13-T64*Constants!$C$17-IF(E64="Shieldbearer",Constants!$C$19,0)))</f>
        <v>0.80999999999999994</v>
      </c>
      <c r="AA64" s="15">
        <f>MIN(Constants!$C$24,Q64*Constants!$C$23)</f>
        <v>0.128</v>
      </c>
      <c r="AB64" s="15">
        <f>MIN(Constants!$C$36,Constants!$C$34+P64*Constants!$C$35)</f>
        <v>0.16600000000000001</v>
      </c>
      <c r="AC64" s="14">
        <f>Constants!$C$46/U64</f>
        <v>9.0909090909090917</v>
      </c>
      <c r="AD64" s="15" t="str">
        <f>IF(LEFT(C64,11)="Legionnaire",Constants!$C$40*0.5*MAX(0,1-(P64+Q64)/Constants!$C$41),"-")</f>
        <v>-</v>
      </c>
      <c r="AE64" s="9" t="str">
        <f>IF(D64="Enemy",ROUNDUP(O64/Constants!$C$42,0),"-")</f>
        <v>-</v>
      </c>
    </row>
    <row r="65" spans="1:31" x14ac:dyDescent="0.25">
      <c r="A65" s="9" t="str">
        <f t="shared" si="2"/>
        <v>corinth - Priscilla</v>
      </c>
      <c r="B65" s="17" t="s">
        <v>147</v>
      </c>
      <c r="C65" s="17" t="s">
        <v>143</v>
      </c>
      <c r="D65" s="17" t="s">
        <v>89</v>
      </c>
      <c r="E65" s="17" t="s">
        <v>116</v>
      </c>
      <c r="F65" s="17">
        <v>1</v>
      </c>
      <c r="G65" s="17"/>
      <c r="H65" s="17" t="s">
        <v>138</v>
      </c>
      <c r="I65" s="17">
        <v>10</v>
      </c>
      <c r="J65" s="17">
        <v>2</v>
      </c>
      <c r="K65" s="17">
        <v>1</v>
      </c>
      <c r="L65" s="17">
        <v>20</v>
      </c>
      <c r="M65" s="17">
        <v>36</v>
      </c>
      <c r="N65" s="17">
        <v>36</v>
      </c>
      <c r="O65" s="17">
        <v>130</v>
      </c>
      <c r="P65" s="17">
        <v>30</v>
      </c>
      <c r="Q65" s="17">
        <v>36</v>
      </c>
      <c r="R65" s="17">
        <v>31</v>
      </c>
      <c r="S65" s="9">
        <f>M65+IFERROR(INDEX('Level Growth'!$C$4:$C$12,MATCH(E65,'Level Growth'!$A$4:$A$12,0)),'Level Growth'!$C$12)*(F65-1)</f>
        <v>36</v>
      </c>
      <c r="T65" s="9">
        <f>N65+IFERROR(INDEX('Level Growth'!$D$4:$D$12,MATCH(E65,'Level Growth'!$A$4:$A$12,0)),'Level Growth'!$D$12)*(F65-1)</f>
        <v>36</v>
      </c>
      <c r="U65" s="9">
        <f>I65+INT(F65/Constants!$C$52)</f>
        <v>10</v>
      </c>
      <c r="V65" s="9">
        <f>J65+IF(G65="horse",Constants!$C$45,0)</f>
        <v>2</v>
      </c>
      <c r="W65" s="14">
        <f>(O65+S65)*Constants!$C$3*IF(E65="Missionary",Constants!$C$4,1)</f>
        <v>33.200000000000003</v>
      </c>
      <c r="X65" s="15">
        <f>MIN(Constants!$C$8,MAX(Constants!$C$7,Constants!$C$5+R65*Constants!$C$6))</f>
        <v>0.8600000000000001</v>
      </c>
      <c r="Y65" s="14">
        <f t="shared" si="3"/>
        <v>28.552000000000007</v>
      </c>
      <c r="Z65" s="15">
        <f>MIN(Constants!$C$16,MAX(Constants!$C$15,Constants!$C$13-T65*Constants!$C$17-IF(E65="Shieldbearer",Constants!$C$19,0)))</f>
        <v>0.77800000000000002</v>
      </c>
      <c r="AA65" s="15">
        <f>MIN(Constants!$C$24,Q65*Constants!$C$23)</f>
        <v>0.14400000000000002</v>
      </c>
      <c r="AB65" s="15">
        <f>MIN(Constants!$C$36,Constants!$C$34+P65*Constants!$C$35)</f>
        <v>0.16999999999999998</v>
      </c>
      <c r="AC65" s="14">
        <f>Constants!$C$46/U65</f>
        <v>10</v>
      </c>
      <c r="AD65" s="15" t="str">
        <f>IF(LEFT(C65,11)="Legionnaire",Constants!$C$40*0.5*MAX(0,1-(P65+Q65)/Constants!$C$41),"-")</f>
        <v>-</v>
      </c>
      <c r="AE65" s="9" t="str">
        <f>IF(D65="Enemy",ROUNDUP(O65/Constants!$C$42,0),"-")</f>
        <v>-</v>
      </c>
    </row>
    <row r="66" spans="1:31" x14ac:dyDescent="0.25">
      <c r="A66" s="9" t="str">
        <f t="shared" ref="A66:A97" si="4">B66&amp;" - "&amp;C66</f>
        <v>corinth - Aquila</v>
      </c>
      <c r="B66" s="17" t="s">
        <v>147</v>
      </c>
      <c r="C66" s="17" t="s">
        <v>144</v>
      </c>
      <c r="D66" s="17" t="s">
        <v>89</v>
      </c>
      <c r="E66" s="17" t="s">
        <v>116</v>
      </c>
      <c r="F66" s="17">
        <v>1</v>
      </c>
      <c r="G66" s="17"/>
      <c r="H66" s="17" t="s">
        <v>121</v>
      </c>
      <c r="I66" s="17">
        <v>11</v>
      </c>
      <c r="J66" s="17">
        <v>3</v>
      </c>
      <c r="K66" s="17">
        <v>1</v>
      </c>
      <c r="L66" s="17">
        <v>0</v>
      </c>
      <c r="M66" s="17">
        <v>8</v>
      </c>
      <c r="N66" s="17">
        <v>14</v>
      </c>
      <c r="O66" s="17">
        <v>127</v>
      </c>
      <c r="P66" s="17">
        <v>16</v>
      </c>
      <c r="Q66" s="17">
        <v>19</v>
      </c>
      <c r="R66" s="17">
        <v>4</v>
      </c>
      <c r="S66" s="9">
        <f>M66+IFERROR(INDEX('Level Growth'!$C$4:$C$12,MATCH(E66,'Level Growth'!$A$4:$A$12,0)),'Level Growth'!$C$12)*(F66-1)</f>
        <v>8</v>
      </c>
      <c r="T66" s="9">
        <f>N66+IFERROR(INDEX('Level Growth'!$D$4:$D$12,MATCH(E66,'Level Growth'!$A$4:$A$12,0)),'Level Growth'!$D$12)*(F66-1)</f>
        <v>14</v>
      </c>
      <c r="U66" s="9">
        <f>I66+INT(F66/Constants!$C$52)</f>
        <v>11</v>
      </c>
      <c r="V66" s="9">
        <f>J66+IF(G66="horse",Constants!$C$45,0)</f>
        <v>3</v>
      </c>
      <c r="W66" s="14">
        <f>(O66+S66)*Constants!$C$3*IF(E66="Missionary",Constants!$C$4,1)</f>
        <v>27</v>
      </c>
      <c r="X66" s="15">
        <f>MIN(Constants!$C$8,MAX(Constants!$C$7,Constants!$C$5+R66*Constants!$C$6))</f>
        <v>0.59000000000000008</v>
      </c>
      <c r="Y66" s="14">
        <f t="shared" ref="Y66:Y97" si="5">W66*X66</f>
        <v>15.930000000000001</v>
      </c>
      <c r="Z66" s="15">
        <f>MIN(Constants!$C$16,MAX(Constants!$C$15,Constants!$C$13-T66*Constants!$C$17-IF(E66="Shieldbearer",Constants!$C$19,0)))</f>
        <v>0.82199999999999995</v>
      </c>
      <c r="AA66" s="15">
        <f>MIN(Constants!$C$24,Q66*Constants!$C$23)</f>
        <v>7.5999999999999998E-2</v>
      </c>
      <c r="AB66" s="15">
        <f>MIN(Constants!$C$36,Constants!$C$34+P66*Constants!$C$35)</f>
        <v>0.114</v>
      </c>
      <c r="AC66" s="14">
        <f>Constants!$C$46/U66</f>
        <v>9.0909090909090917</v>
      </c>
      <c r="AD66" s="15" t="str">
        <f>IF(LEFT(C66,11)="Legionnaire",Constants!$C$40*0.5*MAX(0,1-(P66+Q66)/Constants!$C$41),"-")</f>
        <v>-</v>
      </c>
      <c r="AE66" s="9" t="str">
        <f>IF(D66="Enemy",ROUNDUP(O66/Constants!$C$42,0),"-")</f>
        <v>-</v>
      </c>
    </row>
    <row r="67" spans="1:31" x14ac:dyDescent="0.25">
      <c r="A67" s="9" t="str">
        <f t="shared" si="4"/>
        <v>corinth - Legionnaire Shieldbearer 1</v>
      </c>
      <c r="B67" s="17" t="s">
        <v>147</v>
      </c>
      <c r="C67" s="17" t="s">
        <v>124</v>
      </c>
      <c r="D67" s="17" t="s">
        <v>103</v>
      </c>
      <c r="E67" s="17" t="s">
        <v>125</v>
      </c>
      <c r="F67" s="17">
        <v>4</v>
      </c>
      <c r="G67" s="17"/>
      <c r="H67" s="17" t="s">
        <v>126</v>
      </c>
      <c r="I67" s="17">
        <v>10</v>
      </c>
      <c r="J67" s="17">
        <v>3</v>
      </c>
      <c r="K67" s="17">
        <v>1</v>
      </c>
      <c r="L67" s="17">
        <v>0</v>
      </c>
      <c r="M67" s="17">
        <v>17</v>
      </c>
      <c r="N67" s="17">
        <v>21</v>
      </c>
      <c r="O67" s="17">
        <v>100</v>
      </c>
      <c r="P67" s="17">
        <v>23</v>
      </c>
      <c r="Q67" s="17">
        <v>19</v>
      </c>
      <c r="R67" s="17">
        <v>20</v>
      </c>
      <c r="S67" s="9">
        <f>M67+IFERROR(INDEX('Level Growth'!$C$4:$C$12,MATCH(E67,'Level Growth'!$A$4:$A$12,0)),'Level Growth'!$C$12)*(F67-1)</f>
        <v>17</v>
      </c>
      <c r="T67" s="9">
        <f>N67+IFERROR(INDEX('Level Growth'!$D$4:$D$12,MATCH(E67,'Level Growth'!$A$4:$A$12,0)),'Level Growth'!$D$12)*(F67-1)</f>
        <v>30</v>
      </c>
      <c r="U67" s="9">
        <f>I67+INT(F67/Constants!$C$52)</f>
        <v>10</v>
      </c>
      <c r="V67" s="9">
        <f>J67+IF(G67="horse",Constants!$C$45,0)</f>
        <v>3</v>
      </c>
      <c r="W67" s="14">
        <f>(O67+S67)*Constants!$C$3*IF(E67="Missionary",Constants!$C$4,1)</f>
        <v>23.400000000000002</v>
      </c>
      <c r="X67" s="15">
        <f>MIN(Constants!$C$8,MAX(Constants!$C$7,Constants!$C$5+R67*Constants!$C$6))</f>
        <v>0.75</v>
      </c>
      <c r="Y67" s="14">
        <f t="shared" si="5"/>
        <v>17.55</v>
      </c>
      <c r="Z67" s="15">
        <f>MIN(Constants!$C$16,MAX(Constants!$C$15,Constants!$C$13-T67*Constants!$C$17-IF(E67="Shieldbearer",Constants!$C$19,0)))</f>
        <v>0.64</v>
      </c>
      <c r="AA67" s="15">
        <f>MIN(Constants!$C$24,Q67*Constants!$C$23)</f>
        <v>7.5999999999999998E-2</v>
      </c>
      <c r="AB67" s="15">
        <f>MIN(Constants!$C$36,Constants!$C$34+P67*Constants!$C$35)</f>
        <v>0.14200000000000002</v>
      </c>
      <c r="AC67" s="14">
        <f>Constants!$C$46/U67</f>
        <v>10</v>
      </c>
      <c r="AD67" s="15">
        <f>IF(LEFT(C67,11)="Legionnaire",Constants!$C$40*0.5*MAX(0,1-(P67+Q67)/Constants!$C$41),"-")</f>
        <v>0.216</v>
      </c>
      <c r="AE67" s="9">
        <f>IF(D67="Enemy",ROUNDUP(O67/Constants!$C$42,0),"-")</f>
        <v>10</v>
      </c>
    </row>
    <row r="68" spans="1:31" x14ac:dyDescent="0.25">
      <c r="A68" s="9" t="str">
        <f t="shared" si="4"/>
        <v>corinth - Legionnaire Medic 1</v>
      </c>
      <c r="B68" s="17" t="s">
        <v>147</v>
      </c>
      <c r="C68" s="17" t="s">
        <v>130</v>
      </c>
      <c r="D68" s="17" t="s">
        <v>103</v>
      </c>
      <c r="E68" s="17" t="s">
        <v>131</v>
      </c>
      <c r="F68" s="17">
        <v>4</v>
      </c>
      <c r="G68" s="17"/>
      <c r="H68" s="17" t="s">
        <v>132</v>
      </c>
      <c r="I68" s="17">
        <v>11</v>
      </c>
      <c r="J68" s="17">
        <v>3</v>
      </c>
      <c r="K68" s="17">
        <v>1</v>
      </c>
      <c r="L68" s="17">
        <v>0</v>
      </c>
      <c r="M68" s="17">
        <v>21</v>
      </c>
      <c r="N68" s="17">
        <v>25</v>
      </c>
      <c r="O68" s="17">
        <v>100</v>
      </c>
      <c r="P68" s="17">
        <v>27</v>
      </c>
      <c r="Q68" s="17">
        <v>23</v>
      </c>
      <c r="R68" s="17">
        <v>17</v>
      </c>
      <c r="S68" s="9">
        <f>M68+IFERROR(INDEX('Level Growth'!$C$4:$C$12,MATCH(E68,'Level Growth'!$A$4:$A$12,0)),'Level Growth'!$C$12)*(F68-1)</f>
        <v>27</v>
      </c>
      <c r="T68" s="9">
        <f>N68+IFERROR(INDEX('Level Growth'!$D$4:$D$12,MATCH(E68,'Level Growth'!$A$4:$A$12,0)),'Level Growth'!$D$12)*(F68-1)</f>
        <v>28</v>
      </c>
      <c r="U68" s="9">
        <f>I68+INT(F68/Constants!$C$52)</f>
        <v>11</v>
      </c>
      <c r="V68" s="9">
        <f>J68+IF(G68="horse",Constants!$C$45,0)</f>
        <v>3</v>
      </c>
      <c r="W68" s="14">
        <f>(O68+S68)*Constants!$C$3*IF(E68="Missionary",Constants!$C$4,1)</f>
        <v>25.400000000000002</v>
      </c>
      <c r="X68" s="15">
        <f>MIN(Constants!$C$8,MAX(Constants!$C$7,Constants!$C$5+R68*Constants!$C$6))</f>
        <v>0.72000000000000008</v>
      </c>
      <c r="Y68" s="14">
        <f t="shared" si="5"/>
        <v>18.288000000000004</v>
      </c>
      <c r="Z68" s="15">
        <f>MIN(Constants!$C$16,MAX(Constants!$C$15,Constants!$C$13-T68*Constants!$C$17-IF(E68="Shieldbearer",Constants!$C$19,0)))</f>
        <v>0.79399999999999993</v>
      </c>
      <c r="AA68" s="15">
        <f>MIN(Constants!$C$24,Q68*Constants!$C$23)</f>
        <v>9.1999999999999998E-2</v>
      </c>
      <c r="AB68" s="15">
        <f>MIN(Constants!$C$36,Constants!$C$34+P68*Constants!$C$35)</f>
        <v>0.158</v>
      </c>
      <c r="AC68" s="14">
        <f>Constants!$C$46/U68</f>
        <v>9.0909090909090917</v>
      </c>
      <c r="AD68" s="15">
        <f>IF(LEFT(C68,11)="Legionnaire",Constants!$C$40*0.5*MAX(0,1-(P68+Q68)/Constants!$C$41),"-")</f>
        <v>0.2</v>
      </c>
      <c r="AE68" s="9">
        <f>IF(D68="Enemy",ROUNDUP(O68/Constants!$C$42,0),"-")</f>
        <v>10</v>
      </c>
    </row>
    <row r="69" spans="1:31" x14ac:dyDescent="0.25">
      <c r="A69" s="9" t="str">
        <f t="shared" si="4"/>
        <v>corinth - Legionnaire Shieldbearer 2</v>
      </c>
      <c r="B69" s="17" t="s">
        <v>147</v>
      </c>
      <c r="C69" s="17" t="s">
        <v>133</v>
      </c>
      <c r="D69" s="17" t="s">
        <v>103</v>
      </c>
      <c r="E69" s="17" t="s">
        <v>125</v>
      </c>
      <c r="F69" s="17">
        <v>4</v>
      </c>
      <c r="G69" s="17"/>
      <c r="H69" s="17" t="s">
        <v>126</v>
      </c>
      <c r="I69" s="17">
        <v>10</v>
      </c>
      <c r="J69" s="17">
        <v>3</v>
      </c>
      <c r="K69" s="17">
        <v>1</v>
      </c>
      <c r="L69" s="17">
        <v>0</v>
      </c>
      <c r="M69" s="17">
        <v>15</v>
      </c>
      <c r="N69" s="17">
        <v>19</v>
      </c>
      <c r="O69" s="17">
        <v>100</v>
      </c>
      <c r="P69" s="17">
        <v>20</v>
      </c>
      <c r="Q69" s="17">
        <v>21</v>
      </c>
      <c r="R69" s="17">
        <v>22</v>
      </c>
      <c r="S69" s="9">
        <f>M69+IFERROR(INDEX('Level Growth'!$C$4:$C$12,MATCH(E69,'Level Growth'!$A$4:$A$12,0)),'Level Growth'!$C$12)*(F69-1)</f>
        <v>15</v>
      </c>
      <c r="T69" s="9">
        <f>N69+IFERROR(INDEX('Level Growth'!$D$4:$D$12,MATCH(E69,'Level Growth'!$A$4:$A$12,0)),'Level Growth'!$D$12)*(F69-1)</f>
        <v>28</v>
      </c>
      <c r="U69" s="9">
        <f>I69+INT(F69/Constants!$C$52)</f>
        <v>10</v>
      </c>
      <c r="V69" s="9">
        <f>J69+IF(G69="horse",Constants!$C$45,0)</f>
        <v>3</v>
      </c>
      <c r="W69" s="14">
        <f>(O69+S69)*Constants!$C$3*IF(E69="Missionary",Constants!$C$4,1)</f>
        <v>23</v>
      </c>
      <c r="X69" s="15">
        <f>MIN(Constants!$C$8,MAX(Constants!$C$7,Constants!$C$5+R69*Constants!$C$6))</f>
        <v>0.77</v>
      </c>
      <c r="Y69" s="14">
        <f t="shared" si="5"/>
        <v>17.71</v>
      </c>
      <c r="Z69" s="15">
        <f>MIN(Constants!$C$16,MAX(Constants!$C$15,Constants!$C$13-T69*Constants!$C$17-IF(E69="Shieldbearer",Constants!$C$19,0)))</f>
        <v>0.64399999999999991</v>
      </c>
      <c r="AA69" s="15">
        <f>MIN(Constants!$C$24,Q69*Constants!$C$23)</f>
        <v>8.4000000000000005E-2</v>
      </c>
      <c r="AB69" s="15">
        <f>MIN(Constants!$C$36,Constants!$C$34+P69*Constants!$C$35)</f>
        <v>0.13</v>
      </c>
      <c r="AC69" s="14">
        <f>Constants!$C$46/U69</f>
        <v>10</v>
      </c>
      <c r="AD69" s="15">
        <f>IF(LEFT(C69,11)="Legionnaire",Constants!$C$40*0.5*MAX(0,1-(P69+Q69)/Constants!$C$41),"-")</f>
        <v>0.218</v>
      </c>
      <c r="AE69" s="9">
        <f>IF(D69="Enemy",ROUNDUP(O69/Constants!$C$42,0),"-")</f>
        <v>10</v>
      </c>
    </row>
    <row r="70" spans="1:31" x14ac:dyDescent="0.25">
      <c r="A70" s="9" t="str">
        <f t="shared" si="4"/>
        <v>corinth - Legionnaire Archer 1</v>
      </c>
      <c r="B70" s="17" t="s">
        <v>147</v>
      </c>
      <c r="C70" s="17" t="s">
        <v>127</v>
      </c>
      <c r="D70" s="17" t="s">
        <v>103</v>
      </c>
      <c r="E70" s="17" t="s">
        <v>128</v>
      </c>
      <c r="F70" s="17">
        <v>4</v>
      </c>
      <c r="G70" s="17"/>
      <c r="H70" s="17" t="s">
        <v>146</v>
      </c>
      <c r="I70" s="17">
        <v>10</v>
      </c>
      <c r="J70" s="17">
        <v>3</v>
      </c>
      <c r="K70" s="17">
        <v>1</v>
      </c>
      <c r="L70" s="17">
        <v>0</v>
      </c>
      <c r="M70" s="17">
        <v>24</v>
      </c>
      <c r="N70" s="17">
        <v>22</v>
      </c>
      <c r="O70" s="17">
        <v>100</v>
      </c>
      <c r="P70" s="17">
        <v>19</v>
      </c>
      <c r="Q70" s="17">
        <v>20</v>
      </c>
      <c r="R70" s="17">
        <v>24</v>
      </c>
      <c r="S70" s="9">
        <f>M70+IFERROR(INDEX('Level Growth'!$C$4:$C$12,MATCH(E70,'Level Growth'!$A$4:$A$12,0)),'Level Growth'!$C$12)*(F70-1)</f>
        <v>27</v>
      </c>
      <c r="T70" s="9">
        <f>N70+IFERROR(INDEX('Level Growth'!$D$4:$D$12,MATCH(E70,'Level Growth'!$A$4:$A$12,0)),'Level Growth'!$D$12)*(F70-1)</f>
        <v>25</v>
      </c>
      <c r="U70" s="9">
        <f>I70+INT(F70/Constants!$C$52)</f>
        <v>10</v>
      </c>
      <c r="V70" s="9">
        <f>J70+IF(G70="horse",Constants!$C$45,0)</f>
        <v>3</v>
      </c>
      <c r="W70" s="14">
        <f>(O70+S70)*Constants!$C$3*IF(E70="Missionary",Constants!$C$4,1)</f>
        <v>25.400000000000002</v>
      </c>
      <c r="X70" s="15">
        <f>MIN(Constants!$C$8,MAX(Constants!$C$7,Constants!$C$5+R70*Constants!$C$6))</f>
        <v>0.79</v>
      </c>
      <c r="Y70" s="14">
        <f t="shared" si="5"/>
        <v>20.066000000000003</v>
      </c>
      <c r="Z70" s="15">
        <f>MIN(Constants!$C$16,MAX(Constants!$C$15,Constants!$C$13-T70*Constants!$C$17-IF(E70="Shieldbearer",Constants!$C$19,0)))</f>
        <v>0.79999999999999993</v>
      </c>
      <c r="AA70" s="15">
        <f>MIN(Constants!$C$24,Q70*Constants!$C$23)</f>
        <v>0.08</v>
      </c>
      <c r="AB70" s="15">
        <f>MIN(Constants!$C$36,Constants!$C$34+P70*Constants!$C$35)</f>
        <v>0.126</v>
      </c>
      <c r="AC70" s="14">
        <f>Constants!$C$46/U70</f>
        <v>10</v>
      </c>
      <c r="AD70" s="15">
        <f>IF(LEFT(C70,11)="Legionnaire",Constants!$C$40*0.5*MAX(0,1-(P70+Q70)/Constants!$C$41),"-")</f>
        <v>0.222</v>
      </c>
      <c r="AE70" s="9">
        <f>IF(D70="Enemy",ROUNDUP(O70/Constants!$C$42,0),"-")</f>
        <v>10</v>
      </c>
    </row>
    <row r="71" spans="1:31" x14ac:dyDescent="0.25">
      <c r="A71" s="9" t="str">
        <f t="shared" si="4"/>
        <v>ephesus - Paul</v>
      </c>
      <c r="B71" s="17" t="s">
        <v>148</v>
      </c>
      <c r="C71" s="17" t="s">
        <v>88</v>
      </c>
      <c r="D71" s="17" t="s">
        <v>89</v>
      </c>
      <c r="E71" s="17" t="s">
        <v>90</v>
      </c>
      <c r="F71" s="17">
        <v>1</v>
      </c>
      <c r="G71" s="17"/>
      <c r="H71" s="17" t="s">
        <v>114</v>
      </c>
      <c r="I71" s="17">
        <v>15</v>
      </c>
      <c r="J71" s="17">
        <v>4</v>
      </c>
      <c r="K71" s="17">
        <v>2</v>
      </c>
      <c r="L71" s="17">
        <v>100</v>
      </c>
      <c r="M71" s="17">
        <v>25</v>
      </c>
      <c r="N71" s="17">
        <v>6</v>
      </c>
      <c r="O71" s="17">
        <v>129</v>
      </c>
      <c r="P71" s="17">
        <v>24</v>
      </c>
      <c r="Q71" s="17">
        <v>3</v>
      </c>
      <c r="R71" s="17">
        <v>20</v>
      </c>
      <c r="S71" s="9">
        <f>M71+IFERROR(INDEX('Level Growth'!$C$4:$C$12,MATCH(E71,'Level Growth'!$A$4:$A$12,0)),'Level Growth'!$C$12)*(F71-1)</f>
        <v>25</v>
      </c>
      <c r="T71" s="9">
        <f>N71+IFERROR(INDEX('Level Growth'!$D$4:$D$12,MATCH(E71,'Level Growth'!$A$4:$A$12,0)),'Level Growth'!$D$12)*(F71-1)</f>
        <v>6</v>
      </c>
      <c r="U71" s="9">
        <f>I71+INT(F71/Constants!$C$52)</f>
        <v>15</v>
      </c>
      <c r="V71" s="9">
        <f>J71+IF(G71="horse",Constants!$C$45,0)</f>
        <v>4</v>
      </c>
      <c r="W71" s="14">
        <f>(O71+S71)*Constants!$C$3*IF(E71="Missionary",Constants!$C$4,1)</f>
        <v>46.2</v>
      </c>
      <c r="X71" s="15">
        <f>MIN(Constants!$C$8,MAX(Constants!$C$7,Constants!$C$5+R71*Constants!$C$6))</f>
        <v>0.75</v>
      </c>
      <c r="Y71" s="14">
        <f t="shared" si="5"/>
        <v>34.650000000000006</v>
      </c>
      <c r="Z71" s="15">
        <f>MIN(Constants!$C$16,MAX(Constants!$C$15,Constants!$C$13-T71*Constants!$C$17-IF(E71="Shieldbearer",Constants!$C$19,0)))</f>
        <v>0.83799999999999997</v>
      </c>
      <c r="AA71" s="15">
        <f>MIN(Constants!$C$24,Q71*Constants!$C$23)</f>
        <v>1.2E-2</v>
      </c>
      <c r="AB71" s="15">
        <f>MIN(Constants!$C$36,Constants!$C$34+P71*Constants!$C$35)</f>
        <v>0.14600000000000002</v>
      </c>
      <c r="AC71" s="14">
        <f>Constants!$C$46/U71</f>
        <v>6.666666666666667</v>
      </c>
      <c r="AD71" s="15" t="str">
        <f>IF(LEFT(C71,11)="Legionnaire",Constants!$C$40*0.5*MAX(0,1-(P71+Q71)/Constants!$C$41),"-")</f>
        <v>-</v>
      </c>
      <c r="AE71" s="9" t="str">
        <f>IF(D71="Enemy",ROUNDUP(O71/Constants!$C$42,0),"-")</f>
        <v>-</v>
      </c>
    </row>
    <row r="72" spans="1:31" x14ac:dyDescent="0.25">
      <c r="A72" s="9" t="str">
        <f t="shared" si="4"/>
        <v>ephesus - Peter</v>
      </c>
      <c r="B72" s="17" t="s">
        <v>148</v>
      </c>
      <c r="C72" s="17" t="s">
        <v>115</v>
      </c>
      <c r="D72" s="17" t="s">
        <v>89</v>
      </c>
      <c r="E72" s="17" t="s">
        <v>116</v>
      </c>
      <c r="F72" s="17">
        <v>1</v>
      </c>
      <c r="G72" s="17"/>
      <c r="H72" s="17" t="s">
        <v>117</v>
      </c>
      <c r="I72" s="17">
        <v>12</v>
      </c>
      <c r="J72" s="17">
        <v>3</v>
      </c>
      <c r="K72" s="17">
        <v>1</v>
      </c>
      <c r="L72" s="17">
        <v>20</v>
      </c>
      <c r="M72" s="17">
        <v>10</v>
      </c>
      <c r="N72" s="17">
        <v>28</v>
      </c>
      <c r="O72" s="17">
        <v>122</v>
      </c>
      <c r="P72" s="17">
        <v>6</v>
      </c>
      <c r="Q72" s="17">
        <v>32</v>
      </c>
      <c r="R72" s="17">
        <v>25</v>
      </c>
      <c r="S72" s="9">
        <f>M72+IFERROR(INDEX('Level Growth'!$C$4:$C$12,MATCH(E72,'Level Growth'!$A$4:$A$12,0)),'Level Growth'!$C$12)*(F72-1)</f>
        <v>10</v>
      </c>
      <c r="T72" s="9">
        <f>N72+IFERROR(INDEX('Level Growth'!$D$4:$D$12,MATCH(E72,'Level Growth'!$A$4:$A$12,0)),'Level Growth'!$D$12)*(F72-1)</f>
        <v>28</v>
      </c>
      <c r="U72" s="9">
        <f>I72+INT(F72/Constants!$C$52)</f>
        <v>12</v>
      </c>
      <c r="V72" s="9">
        <f>J72+IF(G72="horse",Constants!$C$45,0)</f>
        <v>3</v>
      </c>
      <c r="W72" s="14">
        <f>(O72+S72)*Constants!$C$3*IF(E72="Missionary",Constants!$C$4,1)</f>
        <v>26.400000000000002</v>
      </c>
      <c r="X72" s="15">
        <f>MIN(Constants!$C$8,MAX(Constants!$C$7,Constants!$C$5+R72*Constants!$C$6))</f>
        <v>0.8</v>
      </c>
      <c r="Y72" s="14">
        <f t="shared" si="5"/>
        <v>21.120000000000005</v>
      </c>
      <c r="Z72" s="15">
        <f>MIN(Constants!$C$16,MAX(Constants!$C$15,Constants!$C$13-T72*Constants!$C$17-IF(E72="Shieldbearer",Constants!$C$19,0)))</f>
        <v>0.79399999999999993</v>
      </c>
      <c r="AA72" s="15">
        <f>MIN(Constants!$C$24,Q72*Constants!$C$23)</f>
        <v>0.128</v>
      </c>
      <c r="AB72" s="15">
        <f>MIN(Constants!$C$36,Constants!$C$34+P72*Constants!$C$35)</f>
        <v>7.400000000000001E-2</v>
      </c>
      <c r="AC72" s="14">
        <f>Constants!$C$46/U72</f>
        <v>8.3333333333333339</v>
      </c>
      <c r="AD72" s="15" t="str">
        <f>IF(LEFT(C72,11)="Legionnaire",Constants!$C$40*0.5*MAX(0,1-(P72+Q72)/Constants!$C$41),"-")</f>
        <v>-</v>
      </c>
      <c r="AE72" s="9" t="str">
        <f>IF(D72="Enemy",ROUNDUP(O72/Constants!$C$42,0),"-")</f>
        <v>-</v>
      </c>
    </row>
    <row r="73" spans="1:31" x14ac:dyDescent="0.25">
      <c r="A73" s="9" t="str">
        <f t="shared" si="4"/>
        <v>ephesus - Barnabas</v>
      </c>
      <c r="B73" s="17" t="s">
        <v>148</v>
      </c>
      <c r="C73" s="17" t="s">
        <v>118</v>
      </c>
      <c r="D73" s="17" t="s">
        <v>89</v>
      </c>
      <c r="E73" s="17" t="s">
        <v>116</v>
      </c>
      <c r="F73" s="17">
        <v>1</v>
      </c>
      <c r="G73" s="17"/>
      <c r="H73" s="17" t="s">
        <v>119</v>
      </c>
      <c r="I73" s="17">
        <v>11</v>
      </c>
      <c r="J73" s="17">
        <v>3</v>
      </c>
      <c r="K73" s="17">
        <v>1</v>
      </c>
      <c r="L73" s="17">
        <v>15</v>
      </c>
      <c r="M73" s="17">
        <v>38</v>
      </c>
      <c r="N73" s="17">
        <v>48</v>
      </c>
      <c r="O73" s="17">
        <v>150</v>
      </c>
      <c r="P73" s="17">
        <v>40</v>
      </c>
      <c r="Q73" s="17">
        <v>33</v>
      </c>
      <c r="R73" s="17">
        <v>21</v>
      </c>
      <c r="S73" s="9">
        <f>M73+IFERROR(INDEX('Level Growth'!$C$4:$C$12,MATCH(E73,'Level Growth'!$A$4:$A$12,0)),'Level Growth'!$C$12)*(F73-1)</f>
        <v>38</v>
      </c>
      <c r="T73" s="9">
        <f>N73+IFERROR(INDEX('Level Growth'!$D$4:$D$12,MATCH(E73,'Level Growth'!$A$4:$A$12,0)),'Level Growth'!$D$12)*(F73-1)</f>
        <v>48</v>
      </c>
      <c r="U73" s="9">
        <f>I73+INT(F73/Constants!$C$52)</f>
        <v>11</v>
      </c>
      <c r="V73" s="9">
        <f>J73+IF(G73="horse",Constants!$C$45,0)</f>
        <v>3</v>
      </c>
      <c r="W73" s="14">
        <f>(O73+S73)*Constants!$C$3*IF(E73="Missionary",Constants!$C$4,1)</f>
        <v>37.6</v>
      </c>
      <c r="X73" s="15">
        <f>MIN(Constants!$C$8,MAX(Constants!$C$7,Constants!$C$5+R73*Constants!$C$6))</f>
        <v>0.76</v>
      </c>
      <c r="Y73" s="14">
        <f t="shared" si="5"/>
        <v>28.576000000000001</v>
      </c>
      <c r="Z73" s="15">
        <f>MIN(Constants!$C$16,MAX(Constants!$C$15,Constants!$C$13-T73*Constants!$C$17-IF(E73="Shieldbearer",Constants!$C$19,0)))</f>
        <v>0.754</v>
      </c>
      <c r="AA73" s="15">
        <f>MIN(Constants!$C$24,Q73*Constants!$C$23)</f>
        <v>0.13200000000000001</v>
      </c>
      <c r="AB73" s="15">
        <f>MIN(Constants!$C$36,Constants!$C$34+P73*Constants!$C$35)</f>
        <v>0.21000000000000002</v>
      </c>
      <c r="AC73" s="14">
        <f>Constants!$C$46/U73</f>
        <v>9.0909090909090917</v>
      </c>
      <c r="AD73" s="15" t="str">
        <f>IF(LEFT(C73,11)="Legionnaire",Constants!$C$40*0.5*MAX(0,1-(P73+Q73)/Constants!$C$41),"-")</f>
        <v>-</v>
      </c>
      <c r="AE73" s="9" t="str">
        <f>IF(D73="Enemy",ROUNDUP(O73/Constants!$C$42,0),"-")</f>
        <v>-</v>
      </c>
    </row>
    <row r="74" spans="1:31" x14ac:dyDescent="0.25">
      <c r="A74" s="9" t="str">
        <f t="shared" si="4"/>
        <v>ephesus - Mark</v>
      </c>
      <c r="B74" s="17" t="s">
        <v>148</v>
      </c>
      <c r="C74" s="17" t="s">
        <v>120</v>
      </c>
      <c r="D74" s="17" t="s">
        <v>89</v>
      </c>
      <c r="E74" s="17" t="s">
        <v>116</v>
      </c>
      <c r="F74" s="17">
        <v>1</v>
      </c>
      <c r="G74" s="17"/>
      <c r="H74" s="17" t="s">
        <v>121</v>
      </c>
      <c r="I74" s="17">
        <v>13</v>
      </c>
      <c r="J74" s="17">
        <v>3</v>
      </c>
      <c r="K74" s="17">
        <v>1</v>
      </c>
      <c r="L74" s="17">
        <v>10</v>
      </c>
      <c r="M74" s="17">
        <v>12</v>
      </c>
      <c r="N74" s="17">
        <v>16</v>
      </c>
      <c r="O74" s="17">
        <v>118</v>
      </c>
      <c r="P74" s="17">
        <v>41</v>
      </c>
      <c r="Q74" s="17">
        <v>26</v>
      </c>
      <c r="R74" s="17">
        <v>45</v>
      </c>
      <c r="S74" s="9">
        <f>M74+IFERROR(INDEX('Level Growth'!$C$4:$C$12,MATCH(E74,'Level Growth'!$A$4:$A$12,0)),'Level Growth'!$C$12)*(F74-1)</f>
        <v>12</v>
      </c>
      <c r="T74" s="9">
        <f>N74+IFERROR(INDEX('Level Growth'!$D$4:$D$12,MATCH(E74,'Level Growth'!$A$4:$A$12,0)),'Level Growth'!$D$12)*(F74-1)</f>
        <v>16</v>
      </c>
      <c r="U74" s="9">
        <f>I74+INT(F74/Constants!$C$52)</f>
        <v>13</v>
      </c>
      <c r="V74" s="9">
        <f>J74+IF(G74="horse",Constants!$C$45,0)</f>
        <v>3</v>
      </c>
      <c r="W74" s="14">
        <f>(O74+S74)*Constants!$C$3*IF(E74="Missionary",Constants!$C$4,1)</f>
        <v>26</v>
      </c>
      <c r="X74" s="15">
        <f>MIN(Constants!$C$8,MAX(Constants!$C$7,Constants!$C$5+R74*Constants!$C$6))</f>
        <v>0.98</v>
      </c>
      <c r="Y74" s="14">
        <f t="shared" si="5"/>
        <v>25.48</v>
      </c>
      <c r="Z74" s="15">
        <f>MIN(Constants!$C$16,MAX(Constants!$C$15,Constants!$C$13-T74*Constants!$C$17-IF(E74="Shieldbearer",Constants!$C$19,0)))</f>
        <v>0.81799999999999995</v>
      </c>
      <c r="AA74" s="15">
        <f>MIN(Constants!$C$24,Q74*Constants!$C$23)</f>
        <v>0.10400000000000001</v>
      </c>
      <c r="AB74" s="15">
        <f>MIN(Constants!$C$36,Constants!$C$34+P74*Constants!$C$35)</f>
        <v>0.21400000000000002</v>
      </c>
      <c r="AC74" s="14">
        <f>Constants!$C$46/U74</f>
        <v>7.6923076923076925</v>
      </c>
      <c r="AD74" s="15" t="str">
        <f>IF(LEFT(C74,11)="Legionnaire",Constants!$C$40*0.5*MAX(0,1-(P74+Q74)/Constants!$C$41),"-")</f>
        <v>-</v>
      </c>
      <c r="AE74" s="9" t="str">
        <f>IF(D74="Enemy",ROUNDUP(O74/Constants!$C$42,0),"-")</f>
        <v>-</v>
      </c>
    </row>
    <row r="75" spans="1:31" x14ac:dyDescent="0.25">
      <c r="A75" s="9" t="str">
        <f t="shared" si="4"/>
        <v>ephesus - John</v>
      </c>
      <c r="B75" s="17" t="s">
        <v>148</v>
      </c>
      <c r="C75" s="17" t="s">
        <v>122</v>
      </c>
      <c r="D75" s="17" t="s">
        <v>89</v>
      </c>
      <c r="E75" s="17" t="s">
        <v>116</v>
      </c>
      <c r="F75" s="17">
        <v>1</v>
      </c>
      <c r="G75" s="17"/>
      <c r="H75" s="17" t="s">
        <v>123</v>
      </c>
      <c r="I75" s="17">
        <v>11</v>
      </c>
      <c r="J75" s="17">
        <v>3</v>
      </c>
      <c r="K75" s="17">
        <v>1</v>
      </c>
      <c r="L75" s="17">
        <v>50</v>
      </c>
      <c r="M75" s="17">
        <v>31</v>
      </c>
      <c r="N75" s="17">
        <v>26</v>
      </c>
      <c r="O75" s="17">
        <v>113</v>
      </c>
      <c r="P75" s="17">
        <v>19</v>
      </c>
      <c r="Q75" s="17">
        <v>13</v>
      </c>
      <c r="R75" s="17">
        <v>34</v>
      </c>
      <c r="S75" s="9">
        <f>M75+IFERROR(INDEX('Level Growth'!$C$4:$C$12,MATCH(E75,'Level Growth'!$A$4:$A$12,0)),'Level Growth'!$C$12)*(F75-1)</f>
        <v>31</v>
      </c>
      <c r="T75" s="9">
        <f>N75+IFERROR(INDEX('Level Growth'!$D$4:$D$12,MATCH(E75,'Level Growth'!$A$4:$A$12,0)),'Level Growth'!$D$12)*(F75-1)</f>
        <v>26</v>
      </c>
      <c r="U75" s="9">
        <f>I75+INT(F75/Constants!$C$52)</f>
        <v>11</v>
      </c>
      <c r="V75" s="9">
        <f>J75+IF(G75="horse",Constants!$C$45,0)</f>
        <v>3</v>
      </c>
      <c r="W75" s="14">
        <f>(O75+S75)*Constants!$C$3*IF(E75="Missionary",Constants!$C$4,1)</f>
        <v>28.8</v>
      </c>
      <c r="X75" s="15">
        <f>MIN(Constants!$C$8,MAX(Constants!$C$7,Constants!$C$5+R75*Constants!$C$6))</f>
        <v>0.89000000000000012</v>
      </c>
      <c r="Y75" s="14">
        <f t="shared" si="5"/>
        <v>25.632000000000005</v>
      </c>
      <c r="Z75" s="15">
        <f>MIN(Constants!$C$16,MAX(Constants!$C$15,Constants!$C$13-T75*Constants!$C$17-IF(E75="Shieldbearer",Constants!$C$19,0)))</f>
        <v>0.79799999999999993</v>
      </c>
      <c r="AA75" s="15">
        <f>MIN(Constants!$C$24,Q75*Constants!$C$23)</f>
        <v>5.2000000000000005E-2</v>
      </c>
      <c r="AB75" s="15">
        <f>MIN(Constants!$C$36,Constants!$C$34+P75*Constants!$C$35)</f>
        <v>0.126</v>
      </c>
      <c r="AC75" s="14">
        <f>Constants!$C$46/U75</f>
        <v>9.0909090909090917</v>
      </c>
      <c r="AD75" s="15" t="str">
        <f>IF(LEFT(C75,11)="Legionnaire",Constants!$C$40*0.5*MAX(0,1-(P75+Q75)/Constants!$C$41),"-")</f>
        <v>-</v>
      </c>
      <c r="AE75" s="9" t="str">
        <f>IF(D75="Enemy",ROUNDUP(O75/Constants!$C$42,0),"-")</f>
        <v>-</v>
      </c>
    </row>
    <row r="76" spans="1:31" x14ac:dyDescent="0.25">
      <c r="A76" s="9" t="str">
        <f t="shared" si="4"/>
        <v>ephesus - Philip</v>
      </c>
      <c r="B76" s="17" t="s">
        <v>148</v>
      </c>
      <c r="C76" s="17" t="s">
        <v>137</v>
      </c>
      <c r="D76" s="17" t="s">
        <v>89</v>
      </c>
      <c r="E76" s="17" t="s">
        <v>116</v>
      </c>
      <c r="F76" s="17">
        <v>1</v>
      </c>
      <c r="G76" s="17"/>
      <c r="H76" s="17" t="s">
        <v>138</v>
      </c>
      <c r="I76" s="17">
        <v>10</v>
      </c>
      <c r="J76" s="17">
        <v>2</v>
      </c>
      <c r="K76" s="17">
        <v>1</v>
      </c>
      <c r="L76" s="17">
        <v>30</v>
      </c>
      <c r="M76" s="17">
        <v>32</v>
      </c>
      <c r="N76" s="17">
        <v>27</v>
      </c>
      <c r="O76" s="17">
        <v>138</v>
      </c>
      <c r="P76" s="17">
        <v>20</v>
      </c>
      <c r="Q76" s="17">
        <v>36</v>
      </c>
      <c r="R76" s="17">
        <v>31</v>
      </c>
      <c r="S76" s="9">
        <f>M76+IFERROR(INDEX('Level Growth'!$C$4:$C$12,MATCH(E76,'Level Growth'!$A$4:$A$12,0)),'Level Growth'!$C$12)*(F76-1)</f>
        <v>32</v>
      </c>
      <c r="T76" s="9">
        <f>N76+IFERROR(INDEX('Level Growth'!$D$4:$D$12,MATCH(E76,'Level Growth'!$A$4:$A$12,0)),'Level Growth'!$D$12)*(F76-1)</f>
        <v>27</v>
      </c>
      <c r="U76" s="9">
        <f>I76+INT(F76/Constants!$C$52)</f>
        <v>10</v>
      </c>
      <c r="V76" s="9">
        <f>J76+IF(G76="horse",Constants!$C$45,0)</f>
        <v>2</v>
      </c>
      <c r="W76" s="14">
        <f>(O76+S76)*Constants!$C$3*IF(E76="Missionary",Constants!$C$4,1)</f>
        <v>34</v>
      </c>
      <c r="X76" s="15">
        <f>MIN(Constants!$C$8,MAX(Constants!$C$7,Constants!$C$5+R76*Constants!$C$6))</f>
        <v>0.8600000000000001</v>
      </c>
      <c r="Y76" s="14">
        <f t="shared" si="5"/>
        <v>29.240000000000002</v>
      </c>
      <c r="Z76" s="15">
        <f>MIN(Constants!$C$16,MAX(Constants!$C$15,Constants!$C$13-T76*Constants!$C$17-IF(E76="Shieldbearer",Constants!$C$19,0)))</f>
        <v>0.79599999999999993</v>
      </c>
      <c r="AA76" s="15">
        <f>MIN(Constants!$C$24,Q76*Constants!$C$23)</f>
        <v>0.14400000000000002</v>
      </c>
      <c r="AB76" s="15">
        <f>MIN(Constants!$C$36,Constants!$C$34+P76*Constants!$C$35)</f>
        <v>0.13</v>
      </c>
      <c r="AC76" s="14">
        <f>Constants!$C$46/U76</f>
        <v>10</v>
      </c>
      <c r="AD76" s="15" t="str">
        <f>IF(LEFT(C76,11)="Legionnaire",Constants!$C$40*0.5*MAX(0,1-(P76+Q76)/Constants!$C$41),"-")</f>
        <v>-</v>
      </c>
      <c r="AE76" s="9" t="str">
        <f>IF(D76="Enemy",ROUNDUP(O76/Constants!$C$42,0),"-")</f>
        <v>-</v>
      </c>
    </row>
    <row r="77" spans="1:31" x14ac:dyDescent="0.25">
      <c r="A77" s="9" t="str">
        <f t="shared" si="4"/>
        <v>ephesus - Timothy</v>
      </c>
      <c r="B77" s="17" t="s">
        <v>148</v>
      </c>
      <c r="C77" s="17" t="s">
        <v>139</v>
      </c>
      <c r="D77" s="17" t="s">
        <v>89</v>
      </c>
      <c r="E77" s="17" t="s">
        <v>116</v>
      </c>
      <c r="F77" s="17">
        <v>1</v>
      </c>
      <c r="G77" s="17"/>
      <c r="H77" s="17" t="s">
        <v>121</v>
      </c>
      <c r="I77" s="17">
        <v>11</v>
      </c>
      <c r="J77" s="17">
        <v>3</v>
      </c>
      <c r="K77" s="17">
        <v>1</v>
      </c>
      <c r="L77" s="17">
        <v>0</v>
      </c>
      <c r="M77" s="17">
        <v>14</v>
      </c>
      <c r="N77" s="17">
        <v>20</v>
      </c>
      <c r="O77" s="17">
        <v>128</v>
      </c>
      <c r="P77" s="17">
        <v>30</v>
      </c>
      <c r="Q77" s="17">
        <v>24</v>
      </c>
      <c r="R77" s="17">
        <v>30</v>
      </c>
      <c r="S77" s="9">
        <f>M77+IFERROR(INDEX('Level Growth'!$C$4:$C$12,MATCH(E77,'Level Growth'!$A$4:$A$12,0)),'Level Growth'!$C$12)*(F77-1)</f>
        <v>14</v>
      </c>
      <c r="T77" s="9">
        <f>N77+IFERROR(INDEX('Level Growth'!$D$4:$D$12,MATCH(E77,'Level Growth'!$A$4:$A$12,0)),'Level Growth'!$D$12)*(F77-1)</f>
        <v>20</v>
      </c>
      <c r="U77" s="9">
        <f>I77+INT(F77/Constants!$C$52)</f>
        <v>11</v>
      </c>
      <c r="V77" s="9">
        <f>J77+IF(G77="horse",Constants!$C$45,0)</f>
        <v>3</v>
      </c>
      <c r="W77" s="14">
        <f>(O77+S77)*Constants!$C$3*IF(E77="Missionary",Constants!$C$4,1)</f>
        <v>28.400000000000002</v>
      </c>
      <c r="X77" s="15">
        <f>MIN(Constants!$C$8,MAX(Constants!$C$7,Constants!$C$5+R77*Constants!$C$6))</f>
        <v>0.85000000000000009</v>
      </c>
      <c r="Y77" s="14">
        <f t="shared" si="5"/>
        <v>24.140000000000004</v>
      </c>
      <c r="Z77" s="15">
        <f>MIN(Constants!$C$16,MAX(Constants!$C$15,Constants!$C$13-T77*Constants!$C$17-IF(E77="Shieldbearer",Constants!$C$19,0)))</f>
        <v>0.80999999999999994</v>
      </c>
      <c r="AA77" s="15">
        <f>MIN(Constants!$C$24,Q77*Constants!$C$23)</f>
        <v>9.6000000000000002E-2</v>
      </c>
      <c r="AB77" s="15">
        <f>MIN(Constants!$C$36,Constants!$C$34+P77*Constants!$C$35)</f>
        <v>0.16999999999999998</v>
      </c>
      <c r="AC77" s="14">
        <f>Constants!$C$46/U77</f>
        <v>9.0909090909090917</v>
      </c>
      <c r="AD77" s="15" t="str">
        <f>IF(LEFT(C77,11)="Legionnaire",Constants!$C$40*0.5*MAX(0,1-(P77+Q77)/Constants!$C$41),"-")</f>
        <v>-</v>
      </c>
      <c r="AE77" s="9" t="str">
        <f>IF(D77="Enemy",ROUNDUP(O77/Constants!$C$42,0),"-")</f>
        <v>-</v>
      </c>
    </row>
    <row r="78" spans="1:31" x14ac:dyDescent="0.25">
      <c r="A78" s="9" t="str">
        <f t="shared" si="4"/>
        <v>ephesus - Luke</v>
      </c>
      <c r="B78" s="17" t="s">
        <v>148</v>
      </c>
      <c r="C78" s="17" t="s">
        <v>140</v>
      </c>
      <c r="D78" s="17" t="s">
        <v>89</v>
      </c>
      <c r="E78" s="17" t="s">
        <v>116</v>
      </c>
      <c r="F78" s="17">
        <v>1</v>
      </c>
      <c r="G78" s="17"/>
      <c r="H78" s="17" t="s">
        <v>105</v>
      </c>
      <c r="I78" s="17">
        <v>10</v>
      </c>
      <c r="J78" s="17">
        <v>2</v>
      </c>
      <c r="K78" s="17">
        <v>1</v>
      </c>
      <c r="L78" s="17">
        <v>25</v>
      </c>
      <c r="M78" s="17">
        <v>38</v>
      </c>
      <c r="N78" s="17">
        <v>32</v>
      </c>
      <c r="O78" s="17">
        <v>120</v>
      </c>
      <c r="P78" s="17">
        <v>41</v>
      </c>
      <c r="Q78" s="17">
        <v>32</v>
      </c>
      <c r="R78" s="17">
        <v>28</v>
      </c>
      <c r="S78" s="9">
        <f>M78+IFERROR(INDEX('Level Growth'!$C$4:$C$12,MATCH(E78,'Level Growth'!$A$4:$A$12,0)),'Level Growth'!$C$12)*(F78-1)</f>
        <v>38</v>
      </c>
      <c r="T78" s="9">
        <f>N78+IFERROR(INDEX('Level Growth'!$D$4:$D$12,MATCH(E78,'Level Growth'!$A$4:$A$12,0)),'Level Growth'!$D$12)*(F78-1)</f>
        <v>32</v>
      </c>
      <c r="U78" s="9">
        <f>I78+INT(F78/Constants!$C$52)</f>
        <v>10</v>
      </c>
      <c r="V78" s="9">
        <f>J78+IF(G78="horse",Constants!$C$45,0)</f>
        <v>2</v>
      </c>
      <c r="W78" s="14">
        <f>(O78+S78)*Constants!$C$3*IF(E78="Missionary",Constants!$C$4,1)</f>
        <v>31.6</v>
      </c>
      <c r="X78" s="15">
        <f>MIN(Constants!$C$8,MAX(Constants!$C$7,Constants!$C$5+R78*Constants!$C$6))</f>
        <v>0.83000000000000007</v>
      </c>
      <c r="Y78" s="14">
        <f t="shared" si="5"/>
        <v>26.228000000000005</v>
      </c>
      <c r="Z78" s="15">
        <f>MIN(Constants!$C$16,MAX(Constants!$C$15,Constants!$C$13-T78*Constants!$C$17-IF(E78="Shieldbearer",Constants!$C$19,0)))</f>
        <v>0.78600000000000003</v>
      </c>
      <c r="AA78" s="15">
        <f>MIN(Constants!$C$24,Q78*Constants!$C$23)</f>
        <v>0.128</v>
      </c>
      <c r="AB78" s="15">
        <f>MIN(Constants!$C$36,Constants!$C$34+P78*Constants!$C$35)</f>
        <v>0.21400000000000002</v>
      </c>
      <c r="AC78" s="14">
        <f>Constants!$C$46/U78</f>
        <v>10</v>
      </c>
      <c r="AD78" s="15" t="str">
        <f>IF(LEFT(C78,11)="Legionnaire",Constants!$C$40*0.5*MAX(0,1-(P78+Q78)/Constants!$C$41),"-")</f>
        <v>-</v>
      </c>
      <c r="AE78" s="9" t="str">
        <f>IF(D78="Enemy",ROUNDUP(O78/Constants!$C$42,0),"-")</f>
        <v>-</v>
      </c>
    </row>
    <row r="79" spans="1:31" x14ac:dyDescent="0.25">
      <c r="A79" s="9" t="str">
        <f t="shared" si="4"/>
        <v>ephesus - Titus</v>
      </c>
      <c r="B79" s="17" t="s">
        <v>148</v>
      </c>
      <c r="C79" s="17" t="s">
        <v>141</v>
      </c>
      <c r="D79" s="17" t="s">
        <v>89</v>
      </c>
      <c r="E79" s="17" t="s">
        <v>116</v>
      </c>
      <c r="F79" s="17">
        <v>1</v>
      </c>
      <c r="G79" s="17"/>
      <c r="H79" s="17" t="s">
        <v>138</v>
      </c>
      <c r="I79" s="17">
        <v>12</v>
      </c>
      <c r="J79" s="17">
        <v>3</v>
      </c>
      <c r="K79" s="17">
        <v>1</v>
      </c>
      <c r="L79" s="17">
        <v>0</v>
      </c>
      <c r="M79" s="17">
        <v>22</v>
      </c>
      <c r="N79" s="17">
        <v>14</v>
      </c>
      <c r="O79" s="17">
        <v>132</v>
      </c>
      <c r="P79" s="17">
        <v>16</v>
      </c>
      <c r="Q79" s="17">
        <v>25</v>
      </c>
      <c r="R79" s="17">
        <v>27</v>
      </c>
      <c r="S79" s="9">
        <f>M79+IFERROR(INDEX('Level Growth'!$C$4:$C$12,MATCH(E79,'Level Growth'!$A$4:$A$12,0)),'Level Growth'!$C$12)*(F79-1)</f>
        <v>22</v>
      </c>
      <c r="T79" s="9">
        <f>N79+IFERROR(INDEX('Level Growth'!$D$4:$D$12,MATCH(E79,'Level Growth'!$A$4:$A$12,0)),'Level Growth'!$D$12)*(F79-1)</f>
        <v>14</v>
      </c>
      <c r="U79" s="9">
        <f>I79+INT(F79/Constants!$C$52)</f>
        <v>12</v>
      </c>
      <c r="V79" s="9">
        <f>J79+IF(G79="horse",Constants!$C$45,0)</f>
        <v>3</v>
      </c>
      <c r="W79" s="14">
        <f>(O79+S79)*Constants!$C$3*IF(E79="Missionary",Constants!$C$4,1)</f>
        <v>30.8</v>
      </c>
      <c r="X79" s="15">
        <f>MIN(Constants!$C$8,MAX(Constants!$C$7,Constants!$C$5+R79*Constants!$C$6))</f>
        <v>0.82000000000000006</v>
      </c>
      <c r="Y79" s="14">
        <f t="shared" si="5"/>
        <v>25.256000000000004</v>
      </c>
      <c r="Z79" s="15">
        <f>MIN(Constants!$C$16,MAX(Constants!$C$15,Constants!$C$13-T79*Constants!$C$17-IF(E79="Shieldbearer",Constants!$C$19,0)))</f>
        <v>0.82199999999999995</v>
      </c>
      <c r="AA79" s="15">
        <f>MIN(Constants!$C$24,Q79*Constants!$C$23)</f>
        <v>0.1</v>
      </c>
      <c r="AB79" s="15">
        <f>MIN(Constants!$C$36,Constants!$C$34+P79*Constants!$C$35)</f>
        <v>0.114</v>
      </c>
      <c r="AC79" s="14">
        <f>Constants!$C$46/U79</f>
        <v>8.3333333333333339</v>
      </c>
      <c r="AD79" s="15" t="str">
        <f>IF(LEFT(C79,11)="Legionnaire",Constants!$C$40*0.5*MAX(0,1-(P79+Q79)/Constants!$C$41),"-")</f>
        <v>-</v>
      </c>
      <c r="AE79" s="9" t="str">
        <f>IF(D79="Enemy",ROUNDUP(O79/Constants!$C$42,0),"-")</f>
        <v>-</v>
      </c>
    </row>
    <row r="80" spans="1:31" x14ac:dyDescent="0.25">
      <c r="A80" s="9" t="str">
        <f t="shared" si="4"/>
        <v>ephesus - Silas</v>
      </c>
      <c r="B80" s="17" t="s">
        <v>148</v>
      </c>
      <c r="C80" s="17" t="s">
        <v>142</v>
      </c>
      <c r="D80" s="17" t="s">
        <v>89</v>
      </c>
      <c r="E80" s="17" t="s">
        <v>116</v>
      </c>
      <c r="F80" s="17">
        <v>1</v>
      </c>
      <c r="G80" s="17"/>
      <c r="H80" s="17" t="s">
        <v>111</v>
      </c>
      <c r="I80" s="17">
        <v>11</v>
      </c>
      <c r="J80" s="17">
        <v>3</v>
      </c>
      <c r="K80" s="17">
        <v>1</v>
      </c>
      <c r="L80" s="17">
        <v>0</v>
      </c>
      <c r="M80" s="17">
        <v>15</v>
      </c>
      <c r="N80" s="17">
        <v>20</v>
      </c>
      <c r="O80" s="17">
        <v>119</v>
      </c>
      <c r="P80" s="17">
        <v>29</v>
      </c>
      <c r="Q80" s="17">
        <v>32</v>
      </c>
      <c r="R80" s="17">
        <v>25</v>
      </c>
      <c r="S80" s="9">
        <f>M80+IFERROR(INDEX('Level Growth'!$C$4:$C$12,MATCH(E80,'Level Growth'!$A$4:$A$12,0)),'Level Growth'!$C$12)*(F80-1)</f>
        <v>15</v>
      </c>
      <c r="T80" s="9">
        <f>N80+IFERROR(INDEX('Level Growth'!$D$4:$D$12,MATCH(E80,'Level Growth'!$A$4:$A$12,0)),'Level Growth'!$D$12)*(F80-1)</f>
        <v>20</v>
      </c>
      <c r="U80" s="9">
        <f>I80+INT(F80/Constants!$C$52)</f>
        <v>11</v>
      </c>
      <c r="V80" s="9">
        <f>J80+IF(G80="horse",Constants!$C$45,0)</f>
        <v>3</v>
      </c>
      <c r="W80" s="14">
        <f>(O80+S80)*Constants!$C$3*IF(E80="Missionary",Constants!$C$4,1)</f>
        <v>26.8</v>
      </c>
      <c r="X80" s="15">
        <f>MIN(Constants!$C$8,MAX(Constants!$C$7,Constants!$C$5+R80*Constants!$C$6))</f>
        <v>0.8</v>
      </c>
      <c r="Y80" s="14">
        <f t="shared" si="5"/>
        <v>21.44</v>
      </c>
      <c r="Z80" s="15">
        <f>MIN(Constants!$C$16,MAX(Constants!$C$15,Constants!$C$13-T80*Constants!$C$17-IF(E80="Shieldbearer",Constants!$C$19,0)))</f>
        <v>0.80999999999999994</v>
      </c>
      <c r="AA80" s="15">
        <f>MIN(Constants!$C$24,Q80*Constants!$C$23)</f>
        <v>0.128</v>
      </c>
      <c r="AB80" s="15">
        <f>MIN(Constants!$C$36,Constants!$C$34+P80*Constants!$C$35)</f>
        <v>0.16600000000000001</v>
      </c>
      <c r="AC80" s="14">
        <f>Constants!$C$46/U80</f>
        <v>9.0909090909090917</v>
      </c>
      <c r="AD80" s="15" t="str">
        <f>IF(LEFT(C80,11)="Legionnaire",Constants!$C$40*0.5*MAX(0,1-(P80+Q80)/Constants!$C$41),"-")</f>
        <v>-</v>
      </c>
      <c r="AE80" s="9" t="str">
        <f>IF(D80="Enemy",ROUNDUP(O80/Constants!$C$42,0),"-")</f>
        <v>-</v>
      </c>
    </row>
    <row r="81" spans="1:31" x14ac:dyDescent="0.25">
      <c r="A81" s="9" t="str">
        <f t="shared" si="4"/>
        <v>ephesus - Priscilla</v>
      </c>
      <c r="B81" s="17" t="s">
        <v>148</v>
      </c>
      <c r="C81" s="17" t="s">
        <v>143</v>
      </c>
      <c r="D81" s="17" t="s">
        <v>89</v>
      </c>
      <c r="E81" s="17" t="s">
        <v>116</v>
      </c>
      <c r="F81" s="17">
        <v>1</v>
      </c>
      <c r="G81" s="17"/>
      <c r="H81" s="17" t="s">
        <v>138</v>
      </c>
      <c r="I81" s="17">
        <v>10</v>
      </c>
      <c r="J81" s="17">
        <v>2</v>
      </c>
      <c r="K81" s="17">
        <v>1</v>
      </c>
      <c r="L81" s="17">
        <v>20</v>
      </c>
      <c r="M81" s="17">
        <v>36</v>
      </c>
      <c r="N81" s="17">
        <v>36</v>
      </c>
      <c r="O81" s="17">
        <v>130</v>
      </c>
      <c r="P81" s="17">
        <v>30</v>
      </c>
      <c r="Q81" s="17">
        <v>36</v>
      </c>
      <c r="R81" s="17">
        <v>31</v>
      </c>
      <c r="S81" s="9">
        <f>M81+IFERROR(INDEX('Level Growth'!$C$4:$C$12,MATCH(E81,'Level Growth'!$A$4:$A$12,0)),'Level Growth'!$C$12)*(F81-1)</f>
        <v>36</v>
      </c>
      <c r="T81" s="9">
        <f>N81+IFERROR(INDEX('Level Growth'!$D$4:$D$12,MATCH(E81,'Level Growth'!$A$4:$A$12,0)),'Level Growth'!$D$12)*(F81-1)</f>
        <v>36</v>
      </c>
      <c r="U81" s="9">
        <f>I81+INT(F81/Constants!$C$52)</f>
        <v>10</v>
      </c>
      <c r="V81" s="9">
        <f>J81+IF(G81="horse",Constants!$C$45,0)</f>
        <v>2</v>
      </c>
      <c r="W81" s="14">
        <f>(O81+S81)*Constants!$C$3*IF(E81="Missionary",Constants!$C$4,1)</f>
        <v>33.200000000000003</v>
      </c>
      <c r="X81" s="15">
        <f>MIN(Constants!$C$8,MAX(Constants!$C$7,Constants!$C$5+R81*Constants!$C$6))</f>
        <v>0.8600000000000001</v>
      </c>
      <c r="Y81" s="14">
        <f t="shared" si="5"/>
        <v>28.552000000000007</v>
      </c>
      <c r="Z81" s="15">
        <f>MIN(Constants!$C$16,MAX(Constants!$C$15,Constants!$C$13-T81*Constants!$C$17-IF(E81="Shieldbearer",Constants!$C$19,0)))</f>
        <v>0.77800000000000002</v>
      </c>
      <c r="AA81" s="15">
        <f>MIN(Constants!$C$24,Q81*Constants!$C$23)</f>
        <v>0.14400000000000002</v>
      </c>
      <c r="AB81" s="15">
        <f>MIN(Constants!$C$36,Constants!$C$34+P81*Constants!$C$35)</f>
        <v>0.16999999999999998</v>
      </c>
      <c r="AC81" s="14">
        <f>Constants!$C$46/U81</f>
        <v>10</v>
      </c>
      <c r="AD81" s="15" t="str">
        <f>IF(LEFT(C81,11)="Legionnaire",Constants!$C$40*0.5*MAX(0,1-(P81+Q81)/Constants!$C$41),"-")</f>
        <v>-</v>
      </c>
      <c r="AE81" s="9" t="str">
        <f>IF(D81="Enemy",ROUNDUP(O81/Constants!$C$42,0),"-")</f>
        <v>-</v>
      </c>
    </row>
    <row r="82" spans="1:31" x14ac:dyDescent="0.25">
      <c r="A82" s="9" t="str">
        <f t="shared" si="4"/>
        <v>ephesus - Aquila</v>
      </c>
      <c r="B82" s="17" t="s">
        <v>148</v>
      </c>
      <c r="C82" s="17" t="s">
        <v>144</v>
      </c>
      <c r="D82" s="17" t="s">
        <v>89</v>
      </c>
      <c r="E82" s="17" t="s">
        <v>116</v>
      </c>
      <c r="F82" s="17">
        <v>1</v>
      </c>
      <c r="G82" s="17"/>
      <c r="H82" s="17" t="s">
        <v>121</v>
      </c>
      <c r="I82" s="17">
        <v>11</v>
      </c>
      <c r="J82" s="17">
        <v>3</v>
      </c>
      <c r="K82" s="17">
        <v>1</v>
      </c>
      <c r="L82" s="17">
        <v>0</v>
      </c>
      <c r="M82" s="17">
        <v>8</v>
      </c>
      <c r="N82" s="17">
        <v>14</v>
      </c>
      <c r="O82" s="17">
        <v>127</v>
      </c>
      <c r="P82" s="17">
        <v>16</v>
      </c>
      <c r="Q82" s="17">
        <v>19</v>
      </c>
      <c r="R82" s="17">
        <v>4</v>
      </c>
      <c r="S82" s="9">
        <f>M82+IFERROR(INDEX('Level Growth'!$C$4:$C$12,MATCH(E82,'Level Growth'!$A$4:$A$12,0)),'Level Growth'!$C$12)*(F82-1)</f>
        <v>8</v>
      </c>
      <c r="T82" s="9">
        <f>N82+IFERROR(INDEX('Level Growth'!$D$4:$D$12,MATCH(E82,'Level Growth'!$A$4:$A$12,0)),'Level Growth'!$D$12)*(F82-1)</f>
        <v>14</v>
      </c>
      <c r="U82" s="9">
        <f>I82+INT(F82/Constants!$C$52)</f>
        <v>11</v>
      </c>
      <c r="V82" s="9">
        <f>J82+IF(G82="horse",Constants!$C$45,0)</f>
        <v>3</v>
      </c>
      <c r="W82" s="14">
        <f>(O82+S82)*Constants!$C$3*IF(E82="Missionary",Constants!$C$4,1)</f>
        <v>27</v>
      </c>
      <c r="X82" s="15">
        <f>MIN(Constants!$C$8,MAX(Constants!$C$7,Constants!$C$5+R82*Constants!$C$6))</f>
        <v>0.59000000000000008</v>
      </c>
      <c r="Y82" s="14">
        <f t="shared" si="5"/>
        <v>15.930000000000001</v>
      </c>
      <c r="Z82" s="15">
        <f>MIN(Constants!$C$16,MAX(Constants!$C$15,Constants!$C$13-T82*Constants!$C$17-IF(E82="Shieldbearer",Constants!$C$19,0)))</f>
        <v>0.82199999999999995</v>
      </c>
      <c r="AA82" s="15">
        <f>MIN(Constants!$C$24,Q82*Constants!$C$23)</f>
        <v>7.5999999999999998E-2</v>
      </c>
      <c r="AB82" s="15">
        <f>MIN(Constants!$C$36,Constants!$C$34+P82*Constants!$C$35)</f>
        <v>0.114</v>
      </c>
      <c r="AC82" s="14">
        <f>Constants!$C$46/U82</f>
        <v>9.0909090909090917</v>
      </c>
      <c r="AD82" s="15" t="str">
        <f>IF(LEFT(C82,11)="Legionnaire",Constants!$C$40*0.5*MAX(0,1-(P82+Q82)/Constants!$C$41),"-")</f>
        <v>-</v>
      </c>
      <c r="AE82" s="9" t="str">
        <f>IF(D82="Enemy",ROUNDUP(O82/Constants!$C$42,0),"-")</f>
        <v>-</v>
      </c>
    </row>
    <row r="83" spans="1:31" x14ac:dyDescent="0.25">
      <c r="A83" s="9" t="str">
        <f t="shared" si="4"/>
        <v>ephesus - Legionnaire Shieldbearer 1</v>
      </c>
      <c r="B83" s="17" t="s">
        <v>148</v>
      </c>
      <c r="C83" s="17" t="s">
        <v>124</v>
      </c>
      <c r="D83" s="17" t="s">
        <v>103</v>
      </c>
      <c r="E83" s="17" t="s">
        <v>125</v>
      </c>
      <c r="F83" s="17">
        <v>5</v>
      </c>
      <c r="G83" s="17"/>
      <c r="H83" s="17" t="s">
        <v>126</v>
      </c>
      <c r="I83" s="17">
        <v>10</v>
      </c>
      <c r="J83" s="17">
        <v>3</v>
      </c>
      <c r="K83" s="17">
        <v>1</v>
      </c>
      <c r="L83" s="17">
        <v>0</v>
      </c>
      <c r="M83" s="17">
        <v>18</v>
      </c>
      <c r="N83" s="17">
        <v>22</v>
      </c>
      <c r="O83" s="17">
        <v>100</v>
      </c>
      <c r="P83" s="17">
        <v>25</v>
      </c>
      <c r="Q83" s="17">
        <v>20</v>
      </c>
      <c r="R83" s="17">
        <v>20</v>
      </c>
      <c r="S83" s="9">
        <f>M83+IFERROR(INDEX('Level Growth'!$C$4:$C$12,MATCH(E83,'Level Growth'!$A$4:$A$12,0)),'Level Growth'!$C$12)*(F83-1)</f>
        <v>18</v>
      </c>
      <c r="T83" s="9">
        <f>N83+IFERROR(INDEX('Level Growth'!$D$4:$D$12,MATCH(E83,'Level Growth'!$A$4:$A$12,0)),'Level Growth'!$D$12)*(F83-1)</f>
        <v>34</v>
      </c>
      <c r="U83" s="9">
        <f>I83+INT(F83/Constants!$C$52)</f>
        <v>11</v>
      </c>
      <c r="V83" s="9">
        <f>J83+IF(G83="horse",Constants!$C$45,0)</f>
        <v>3</v>
      </c>
      <c r="W83" s="14">
        <f>(O83+S83)*Constants!$C$3*IF(E83="Missionary",Constants!$C$4,1)</f>
        <v>23.6</v>
      </c>
      <c r="X83" s="15">
        <f>MIN(Constants!$C$8,MAX(Constants!$C$7,Constants!$C$5+R83*Constants!$C$6))</f>
        <v>0.75</v>
      </c>
      <c r="Y83" s="14">
        <f t="shared" si="5"/>
        <v>17.700000000000003</v>
      </c>
      <c r="Z83" s="15">
        <f>MIN(Constants!$C$16,MAX(Constants!$C$15,Constants!$C$13-T83*Constants!$C$17-IF(E83="Shieldbearer",Constants!$C$19,0)))</f>
        <v>0.63200000000000001</v>
      </c>
      <c r="AA83" s="15">
        <f>MIN(Constants!$C$24,Q83*Constants!$C$23)</f>
        <v>0.08</v>
      </c>
      <c r="AB83" s="15">
        <f>MIN(Constants!$C$36,Constants!$C$34+P83*Constants!$C$35)</f>
        <v>0.15000000000000002</v>
      </c>
      <c r="AC83" s="14">
        <f>Constants!$C$46/U83</f>
        <v>9.0909090909090917</v>
      </c>
      <c r="AD83" s="15">
        <f>IF(LEFT(C83,11)="Legionnaire",Constants!$C$40*0.5*MAX(0,1-(P83+Q83)/Constants!$C$41),"-")</f>
        <v>0.21</v>
      </c>
      <c r="AE83" s="9">
        <f>IF(D83="Enemy",ROUNDUP(O83/Constants!$C$42,0),"-")</f>
        <v>10</v>
      </c>
    </row>
    <row r="84" spans="1:31" x14ac:dyDescent="0.25">
      <c r="A84" s="9" t="str">
        <f t="shared" si="4"/>
        <v>ephesus - Legionnaire Medic 1</v>
      </c>
      <c r="B84" s="17" t="s">
        <v>148</v>
      </c>
      <c r="C84" s="17" t="s">
        <v>130</v>
      </c>
      <c r="D84" s="17" t="s">
        <v>103</v>
      </c>
      <c r="E84" s="17" t="s">
        <v>131</v>
      </c>
      <c r="F84" s="17">
        <v>5</v>
      </c>
      <c r="G84" s="17"/>
      <c r="H84" s="17" t="s">
        <v>132</v>
      </c>
      <c r="I84" s="17">
        <v>11</v>
      </c>
      <c r="J84" s="17">
        <v>3</v>
      </c>
      <c r="K84" s="17">
        <v>1</v>
      </c>
      <c r="L84" s="17">
        <v>0</v>
      </c>
      <c r="M84" s="17">
        <v>20</v>
      </c>
      <c r="N84" s="17">
        <v>24</v>
      </c>
      <c r="O84" s="17">
        <v>100</v>
      </c>
      <c r="P84" s="17">
        <v>27</v>
      </c>
      <c r="Q84" s="17">
        <v>22</v>
      </c>
      <c r="R84" s="17">
        <v>18</v>
      </c>
      <c r="S84" s="9">
        <f>M84+IFERROR(INDEX('Level Growth'!$C$4:$C$12,MATCH(E84,'Level Growth'!$A$4:$A$12,0)),'Level Growth'!$C$12)*(F84-1)</f>
        <v>28</v>
      </c>
      <c r="T84" s="9">
        <f>N84+IFERROR(INDEX('Level Growth'!$D$4:$D$12,MATCH(E84,'Level Growth'!$A$4:$A$12,0)),'Level Growth'!$D$12)*(F84-1)</f>
        <v>28</v>
      </c>
      <c r="U84" s="9">
        <f>I84+INT(F84/Constants!$C$52)</f>
        <v>12</v>
      </c>
      <c r="V84" s="9">
        <f>J84+IF(G84="horse",Constants!$C$45,0)</f>
        <v>3</v>
      </c>
      <c r="W84" s="14">
        <f>(O84+S84)*Constants!$C$3*IF(E84="Missionary",Constants!$C$4,1)</f>
        <v>25.6</v>
      </c>
      <c r="X84" s="15">
        <f>MIN(Constants!$C$8,MAX(Constants!$C$7,Constants!$C$5+R84*Constants!$C$6))</f>
        <v>0.73</v>
      </c>
      <c r="Y84" s="14">
        <f t="shared" si="5"/>
        <v>18.687999999999999</v>
      </c>
      <c r="Z84" s="15">
        <f>MIN(Constants!$C$16,MAX(Constants!$C$15,Constants!$C$13-T84*Constants!$C$17-IF(E84="Shieldbearer",Constants!$C$19,0)))</f>
        <v>0.79399999999999993</v>
      </c>
      <c r="AA84" s="15">
        <f>MIN(Constants!$C$24,Q84*Constants!$C$23)</f>
        <v>8.7999999999999995E-2</v>
      </c>
      <c r="AB84" s="15">
        <f>MIN(Constants!$C$36,Constants!$C$34+P84*Constants!$C$35)</f>
        <v>0.158</v>
      </c>
      <c r="AC84" s="14">
        <f>Constants!$C$46/U84</f>
        <v>8.3333333333333339</v>
      </c>
      <c r="AD84" s="15">
        <f>IF(LEFT(C84,11)="Legionnaire",Constants!$C$40*0.5*MAX(0,1-(P84+Q84)/Constants!$C$41),"-")</f>
        <v>0.20199999999999999</v>
      </c>
      <c r="AE84" s="9">
        <f>IF(D84="Enemy",ROUNDUP(O84/Constants!$C$42,0),"-")</f>
        <v>10</v>
      </c>
    </row>
    <row r="85" spans="1:31" x14ac:dyDescent="0.25">
      <c r="A85" s="9" t="str">
        <f t="shared" si="4"/>
        <v>ephesus - Legionnaire Shieldbearer 2</v>
      </c>
      <c r="B85" s="17" t="s">
        <v>148</v>
      </c>
      <c r="C85" s="17" t="s">
        <v>133</v>
      </c>
      <c r="D85" s="17" t="s">
        <v>103</v>
      </c>
      <c r="E85" s="17" t="s">
        <v>125</v>
      </c>
      <c r="F85" s="17">
        <v>5</v>
      </c>
      <c r="G85" s="17"/>
      <c r="H85" s="17" t="s">
        <v>126</v>
      </c>
      <c r="I85" s="17">
        <v>10</v>
      </c>
      <c r="J85" s="17">
        <v>3</v>
      </c>
      <c r="K85" s="17">
        <v>1</v>
      </c>
      <c r="L85" s="17">
        <v>0</v>
      </c>
      <c r="M85" s="17">
        <v>17</v>
      </c>
      <c r="N85" s="17">
        <v>20</v>
      </c>
      <c r="O85" s="17">
        <v>100</v>
      </c>
      <c r="P85" s="17">
        <v>22</v>
      </c>
      <c r="Q85" s="17">
        <v>18</v>
      </c>
      <c r="R85" s="17">
        <v>24</v>
      </c>
      <c r="S85" s="9">
        <f>M85+IFERROR(INDEX('Level Growth'!$C$4:$C$12,MATCH(E85,'Level Growth'!$A$4:$A$12,0)),'Level Growth'!$C$12)*(F85-1)</f>
        <v>17</v>
      </c>
      <c r="T85" s="9">
        <f>N85+IFERROR(INDEX('Level Growth'!$D$4:$D$12,MATCH(E85,'Level Growth'!$A$4:$A$12,0)),'Level Growth'!$D$12)*(F85-1)</f>
        <v>32</v>
      </c>
      <c r="U85" s="9">
        <f>I85+INT(F85/Constants!$C$52)</f>
        <v>11</v>
      </c>
      <c r="V85" s="9">
        <f>J85+IF(G85="horse",Constants!$C$45,0)</f>
        <v>3</v>
      </c>
      <c r="W85" s="14">
        <f>(O85+S85)*Constants!$C$3*IF(E85="Missionary",Constants!$C$4,1)</f>
        <v>23.400000000000002</v>
      </c>
      <c r="X85" s="15">
        <f>MIN(Constants!$C$8,MAX(Constants!$C$7,Constants!$C$5+R85*Constants!$C$6))</f>
        <v>0.79</v>
      </c>
      <c r="Y85" s="14">
        <f t="shared" si="5"/>
        <v>18.486000000000004</v>
      </c>
      <c r="Z85" s="15">
        <f>MIN(Constants!$C$16,MAX(Constants!$C$15,Constants!$C$13-T85*Constants!$C$17-IF(E85="Shieldbearer",Constants!$C$19,0)))</f>
        <v>0.63600000000000001</v>
      </c>
      <c r="AA85" s="15">
        <f>MIN(Constants!$C$24,Q85*Constants!$C$23)</f>
        <v>7.2000000000000008E-2</v>
      </c>
      <c r="AB85" s="15">
        <f>MIN(Constants!$C$36,Constants!$C$34+P85*Constants!$C$35)</f>
        <v>0.13800000000000001</v>
      </c>
      <c r="AC85" s="14">
        <f>Constants!$C$46/U85</f>
        <v>9.0909090909090917</v>
      </c>
      <c r="AD85" s="15">
        <f>IF(LEFT(C85,11)="Legionnaire",Constants!$C$40*0.5*MAX(0,1-(P85+Q85)/Constants!$C$41),"-")</f>
        <v>0.22</v>
      </c>
      <c r="AE85" s="9">
        <f>IF(D85="Enemy",ROUNDUP(O85/Constants!$C$42,0),"-")</f>
        <v>10</v>
      </c>
    </row>
    <row r="86" spans="1:31" x14ac:dyDescent="0.25">
      <c r="A86" s="9" t="str">
        <f t="shared" si="4"/>
        <v>ephesus - Legionnaire Medic 2</v>
      </c>
      <c r="B86" s="17" t="s">
        <v>148</v>
      </c>
      <c r="C86" s="17" t="s">
        <v>135</v>
      </c>
      <c r="D86" s="17" t="s">
        <v>103</v>
      </c>
      <c r="E86" s="17" t="s">
        <v>131</v>
      </c>
      <c r="F86" s="17">
        <v>5</v>
      </c>
      <c r="G86" s="17"/>
      <c r="H86" s="17" t="s">
        <v>132</v>
      </c>
      <c r="I86" s="17">
        <v>11</v>
      </c>
      <c r="J86" s="17">
        <v>3</v>
      </c>
      <c r="K86" s="17">
        <v>1</v>
      </c>
      <c r="L86" s="17">
        <v>0</v>
      </c>
      <c r="M86" s="17">
        <v>19</v>
      </c>
      <c r="N86" s="17">
        <v>23</v>
      </c>
      <c r="O86" s="17">
        <v>100</v>
      </c>
      <c r="P86" s="17">
        <v>26</v>
      </c>
      <c r="Q86" s="17">
        <v>23</v>
      </c>
      <c r="R86" s="17">
        <v>19</v>
      </c>
      <c r="S86" s="9">
        <f>M86+IFERROR(INDEX('Level Growth'!$C$4:$C$12,MATCH(E86,'Level Growth'!$A$4:$A$12,0)),'Level Growth'!$C$12)*(F86-1)</f>
        <v>27</v>
      </c>
      <c r="T86" s="9">
        <f>N86+IFERROR(INDEX('Level Growth'!$D$4:$D$12,MATCH(E86,'Level Growth'!$A$4:$A$12,0)),'Level Growth'!$D$12)*(F86-1)</f>
        <v>27</v>
      </c>
      <c r="U86" s="9">
        <f>I86+INT(F86/Constants!$C$52)</f>
        <v>12</v>
      </c>
      <c r="V86" s="9">
        <f>J86+IF(G86="horse",Constants!$C$45,0)</f>
        <v>3</v>
      </c>
      <c r="W86" s="14">
        <f>(O86+S86)*Constants!$C$3*IF(E86="Missionary",Constants!$C$4,1)</f>
        <v>25.400000000000002</v>
      </c>
      <c r="X86" s="15">
        <f>MIN(Constants!$C$8,MAX(Constants!$C$7,Constants!$C$5+R86*Constants!$C$6))</f>
        <v>0.74</v>
      </c>
      <c r="Y86" s="14">
        <f t="shared" si="5"/>
        <v>18.796000000000003</v>
      </c>
      <c r="Z86" s="15">
        <f>MIN(Constants!$C$16,MAX(Constants!$C$15,Constants!$C$13-T86*Constants!$C$17-IF(E86="Shieldbearer",Constants!$C$19,0)))</f>
        <v>0.79599999999999993</v>
      </c>
      <c r="AA86" s="15">
        <f>MIN(Constants!$C$24,Q86*Constants!$C$23)</f>
        <v>9.1999999999999998E-2</v>
      </c>
      <c r="AB86" s="15">
        <f>MIN(Constants!$C$36,Constants!$C$34+P86*Constants!$C$35)</f>
        <v>0.15400000000000003</v>
      </c>
      <c r="AC86" s="14">
        <f>Constants!$C$46/U86</f>
        <v>8.3333333333333339</v>
      </c>
      <c r="AD86" s="15">
        <f>IF(LEFT(C86,11)="Legionnaire",Constants!$C$40*0.5*MAX(0,1-(P86+Q86)/Constants!$C$41),"-")</f>
        <v>0.20199999999999999</v>
      </c>
      <c r="AE86" s="9">
        <f>IF(D86="Enemy",ROUNDUP(O86/Constants!$C$42,0),"-")</f>
        <v>10</v>
      </c>
    </row>
    <row r="87" spans="1:31" x14ac:dyDescent="0.25">
      <c r="A87" s="9" t="str">
        <f t="shared" si="4"/>
        <v>ephesus - Legionnaire Shieldbearer 3</v>
      </c>
      <c r="B87" s="17" t="s">
        <v>148</v>
      </c>
      <c r="C87" s="17" t="s">
        <v>134</v>
      </c>
      <c r="D87" s="17" t="s">
        <v>103</v>
      </c>
      <c r="E87" s="17" t="s">
        <v>125</v>
      </c>
      <c r="F87" s="17">
        <v>5</v>
      </c>
      <c r="G87" s="17"/>
      <c r="H87" s="17" t="s">
        <v>126</v>
      </c>
      <c r="I87" s="17">
        <v>10</v>
      </c>
      <c r="J87" s="17">
        <v>3</v>
      </c>
      <c r="K87" s="17">
        <v>1</v>
      </c>
      <c r="L87" s="17">
        <v>0</v>
      </c>
      <c r="M87" s="17">
        <v>16</v>
      </c>
      <c r="N87" s="17">
        <v>21</v>
      </c>
      <c r="O87" s="17">
        <v>100</v>
      </c>
      <c r="P87" s="17">
        <v>24</v>
      </c>
      <c r="Q87" s="17">
        <v>19</v>
      </c>
      <c r="R87" s="17">
        <v>22</v>
      </c>
      <c r="S87" s="9">
        <f>M87+IFERROR(INDEX('Level Growth'!$C$4:$C$12,MATCH(E87,'Level Growth'!$A$4:$A$12,0)),'Level Growth'!$C$12)*(F87-1)</f>
        <v>16</v>
      </c>
      <c r="T87" s="9">
        <f>N87+IFERROR(INDEX('Level Growth'!$D$4:$D$12,MATCH(E87,'Level Growth'!$A$4:$A$12,0)),'Level Growth'!$D$12)*(F87-1)</f>
        <v>33</v>
      </c>
      <c r="U87" s="9">
        <f>I87+INT(F87/Constants!$C$52)</f>
        <v>11</v>
      </c>
      <c r="V87" s="9">
        <f>J87+IF(G87="horse",Constants!$C$45,0)</f>
        <v>3</v>
      </c>
      <c r="W87" s="14">
        <f>(O87+S87)*Constants!$C$3*IF(E87="Missionary",Constants!$C$4,1)</f>
        <v>23.200000000000003</v>
      </c>
      <c r="X87" s="15">
        <f>MIN(Constants!$C$8,MAX(Constants!$C$7,Constants!$C$5+R87*Constants!$C$6))</f>
        <v>0.77</v>
      </c>
      <c r="Y87" s="14">
        <f t="shared" si="5"/>
        <v>17.864000000000004</v>
      </c>
      <c r="Z87" s="15">
        <f>MIN(Constants!$C$16,MAX(Constants!$C$15,Constants!$C$13-T87*Constants!$C$17-IF(E87="Shieldbearer",Constants!$C$19,0)))</f>
        <v>0.63400000000000001</v>
      </c>
      <c r="AA87" s="15">
        <f>MIN(Constants!$C$24,Q87*Constants!$C$23)</f>
        <v>7.5999999999999998E-2</v>
      </c>
      <c r="AB87" s="15">
        <f>MIN(Constants!$C$36,Constants!$C$34+P87*Constants!$C$35)</f>
        <v>0.14600000000000002</v>
      </c>
      <c r="AC87" s="14">
        <f>Constants!$C$46/U87</f>
        <v>9.0909090909090917</v>
      </c>
      <c r="AD87" s="15">
        <f>IF(LEFT(C87,11)="Legionnaire",Constants!$C$40*0.5*MAX(0,1-(P87+Q87)/Constants!$C$41),"-")</f>
        <v>0.214</v>
      </c>
      <c r="AE87" s="9">
        <f>IF(D87="Enemy",ROUNDUP(O87/Constants!$C$42,0),"-")</f>
        <v>10</v>
      </c>
    </row>
    <row r="88" spans="1:31" x14ac:dyDescent="0.25">
      <c r="A88" s="9" t="str">
        <f t="shared" si="4"/>
        <v>ephesus - Legionnaire Archer 1</v>
      </c>
      <c r="B88" s="17" t="s">
        <v>148</v>
      </c>
      <c r="C88" s="17" t="s">
        <v>127</v>
      </c>
      <c r="D88" s="17" t="s">
        <v>103</v>
      </c>
      <c r="E88" s="17" t="s">
        <v>128</v>
      </c>
      <c r="F88" s="17">
        <v>5</v>
      </c>
      <c r="G88" s="17"/>
      <c r="H88" s="17" t="s">
        <v>146</v>
      </c>
      <c r="I88" s="17">
        <v>10</v>
      </c>
      <c r="J88" s="17">
        <v>3</v>
      </c>
      <c r="K88" s="17">
        <v>1</v>
      </c>
      <c r="L88" s="17">
        <v>0</v>
      </c>
      <c r="M88" s="17">
        <v>25</v>
      </c>
      <c r="N88" s="17">
        <v>26</v>
      </c>
      <c r="O88" s="17">
        <v>100</v>
      </c>
      <c r="P88" s="17">
        <v>20</v>
      </c>
      <c r="Q88" s="17">
        <v>25</v>
      </c>
      <c r="R88" s="17">
        <v>22</v>
      </c>
      <c r="S88" s="9">
        <f>M88+IFERROR(INDEX('Level Growth'!$C$4:$C$12,MATCH(E88,'Level Growth'!$A$4:$A$12,0)),'Level Growth'!$C$12)*(F88-1)</f>
        <v>29</v>
      </c>
      <c r="T88" s="9">
        <f>N88+IFERROR(INDEX('Level Growth'!$D$4:$D$12,MATCH(E88,'Level Growth'!$A$4:$A$12,0)),'Level Growth'!$D$12)*(F88-1)</f>
        <v>30</v>
      </c>
      <c r="U88" s="9">
        <f>I88+INT(F88/Constants!$C$52)</f>
        <v>11</v>
      </c>
      <c r="V88" s="9">
        <f>J88+IF(G88="horse",Constants!$C$45,0)</f>
        <v>3</v>
      </c>
      <c r="W88" s="14">
        <f>(O88+S88)*Constants!$C$3*IF(E88="Missionary",Constants!$C$4,1)</f>
        <v>25.8</v>
      </c>
      <c r="X88" s="15">
        <f>MIN(Constants!$C$8,MAX(Constants!$C$7,Constants!$C$5+R88*Constants!$C$6))</f>
        <v>0.77</v>
      </c>
      <c r="Y88" s="14">
        <f t="shared" si="5"/>
        <v>19.866</v>
      </c>
      <c r="Z88" s="15">
        <f>MIN(Constants!$C$16,MAX(Constants!$C$15,Constants!$C$13-T88*Constants!$C$17-IF(E88="Shieldbearer",Constants!$C$19,0)))</f>
        <v>0.79</v>
      </c>
      <c r="AA88" s="15">
        <f>MIN(Constants!$C$24,Q88*Constants!$C$23)</f>
        <v>0.1</v>
      </c>
      <c r="AB88" s="15">
        <f>MIN(Constants!$C$36,Constants!$C$34+P88*Constants!$C$35)</f>
        <v>0.13</v>
      </c>
      <c r="AC88" s="14">
        <f>Constants!$C$46/U88</f>
        <v>9.0909090909090917</v>
      </c>
      <c r="AD88" s="15">
        <f>IF(LEFT(C88,11)="Legionnaire",Constants!$C$40*0.5*MAX(0,1-(P88+Q88)/Constants!$C$41),"-")</f>
        <v>0.21</v>
      </c>
      <c r="AE88" s="9">
        <f>IF(D88="Enemy",ROUNDUP(O88/Constants!$C$42,0),"-")</f>
        <v>10</v>
      </c>
    </row>
    <row r="89" spans="1:31" x14ac:dyDescent="0.25">
      <c r="A89" s="9" t="str">
        <f t="shared" si="4"/>
        <v>ephesus - Legionnaire Sergeant</v>
      </c>
      <c r="B89" s="17" t="s">
        <v>148</v>
      </c>
      <c r="C89" s="17" t="s">
        <v>149</v>
      </c>
      <c r="D89" s="17" t="s">
        <v>103</v>
      </c>
      <c r="E89" s="17" t="s">
        <v>150</v>
      </c>
      <c r="F89" s="17">
        <v>5</v>
      </c>
      <c r="G89" s="17"/>
      <c r="H89" s="17" t="s">
        <v>151</v>
      </c>
      <c r="I89" s="17">
        <v>12</v>
      </c>
      <c r="J89" s="17">
        <v>3</v>
      </c>
      <c r="K89" s="17">
        <v>1</v>
      </c>
      <c r="L89" s="17">
        <v>0</v>
      </c>
      <c r="M89" s="17">
        <v>20</v>
      </c>
      <c r="N89" s="17">
        <v>22</v>
      </c>
      <c r="O89" s="17">
        <v>100</v>
      </c>
      <c r="P89" s="17">
        <v>30</v>
      </c>
      <c r="Q89" s="17">
        <v>26</v>
      </c>
      <c r="R89" s="17">
        <v>20</v>
      </c>
      <c r="S89" s="9">
        <f>M89+IFERROR(INDEX('Level Growth'!$C$4:$C$12,MATCH(E89,'Level Growth'!$A$4:$A$12,0)),'Level Growth'!$C$12)*(F89-1)</f>
        <v>24</v>
      </c>
      <c r="T89" s="9">
        <f>N89+IFERROR(INDEX('Level Growth'!$D$4:$D$12,MATCH(E89,'Level Growth'!$A$4:$A$12,0)),'Level Growth'!$D$12)*(F89-1)</f>
        <v>30</v>
      </c>
      <c r="U89" s="9">
        <f>I89+INT(F89/Constants!$C$52)</f>
        <v>13</v>
      </c>
      <c r="V89" s="9">
        <f>J89+IF(G89="horse",Constants!$C$45,0)</f>
        <v>3</v>
      </c>
      <c r="W89" s="14">
        <f>(O89+S89)*Constants!$C$3*IF(E89="Missionary",Constants!$C$4,1)</f>
        <v>24.8</v>
      </c>
      <c r="X89" s="15">
        <f>MIN(Constants!$C$8,MAX(Constants!$C$7,Constants!$C$5+R89*Constants!$C$6))</f>
        <v>0.75</v>
      </c>
      <c r="Y89" s="14">
        <f t="shared" si="5"/>
        <v>18.600000000000001</v>
      </c>
      <c r="Z89" s="15">
        <f>MIN(Constants!$C$16,MAX(Constants!$C$15,Constants!$C$13-T89*Constants!$C$17-IF(E89="Shieldbearer",Constants!$C$19,0)))</f>
        <v>0.79</v>
      </c>
      <c r="AA89" s="15">
        <f>MIN(Constants!$C$24,Q89*Constants!$C$23)</f>
        <v>0.10400000000000001</v>
      </c>
      <c r="AB89" s="15">
        <f>MIN(Constants!$C$36,Constants!$C$34+P89*Constants!$C$35)</f>
        <v>0.16999999999999998</v>
      </c>
      <c r="AC89" s="14">
        <f>Constants!$C$46/U89</f>
        <v>7.6923076923076925</v>
      </c>
      <c r="AD89" s="15">
        <f>IF(LEFT(C89,11)="Legionnaire",Constants!$C$40*0.5*MAX(0,1-(P89+Q89)/Constants!$C$41),"-")</f>
        <v>0.188</v>
      </c>
      <c r="AE89" s="9">
        <f>IF(D89="Enemy",ROUNDUP(O89/Constants!$C$42,0),"-")</f>
        <v>10</v>
      </c>
    </row>
    <row r="90" spans="1:31" x14ac:dyDescent="0.25">
      <c r="A90" s="9" t="str">
        <f t="shared" si="4"/>
        <v>rome - Paul</v>
      </c>
      <c r="B90" s="17" t="s">
        <v>152</v>
      </c>
      <c r="C90" s="17" t="s">
        <v>88</v>
      </c>
      <c r="D90" s="17" t="s">
        <v>89</v>
      </c>
      <c r="E90" s="17" t="s">
        <v>90</v>
      </c>
      <c r="F90" s="17">
        <v>1</v>
      </c>
      <c r="G90" s="17"/>
      <c r="H90" s="17" t="s">
        <v>114</v>
      </c>
      <c r="I90" s="17">
        <v>15</v>
      </c>
      <c r="J90" s="17">
        <v>4</v>
      </c>
      <c r="K90" s="17">
        <v>2</v>
      </c>
      <c r="L90" s="17">
        <v>100</v>
      </c>
      <c r="M90" s="17">
        <v>25</v>
      </c>
      <c r="N90" s="17">
        <v>6</v>
      </c>
      <c r="O90" s="17">
        <v>129</v>
      </c>
      <c r="P90" s="17">
        <v>24</v>
      </c>
      <c r="Q90" s="17">
        <v>3</v>
      </c>
      <c r="R90" s="17">
        <v>20</v>
      </c>
      <c r="S90" s="9">
        <f>M90+IFERROR(INDEX('Level Growth'!$C$4:$C$12,MATCH(E90,'Level Growth'!$A$4:$A$12,0)),'Level Growth'!$C$12)*(F90-1)</f>
        <v>25</v>
      </c>
      <c r="T90" s="9">
        <f>N90+IFERROR(INDEX('Level Growth'!$D$4:$D$12,MATCH(E90,'Level Growth'!$A$4:$A$12,0)),'Level Growth'!$D$12)*(F90-1)</f>
        <v>6</v>
      </c>
      <c r="U90" s="9">
        <f>I90+INT(F90/Constants!$C$52)</f>
        <v>15</v>
      </c>
      <c r="V90" s="9">
        <f>J90+IF(G90="horse",Constants!$C$45,0)</f>
        <v>4</v>
      </c>
      <c r="W90" s="14">
        <f>(O90+S90)*Constants!$C$3*IF(E90="Missionary",Constants!$C$4,1)</f>
        <v>46.2</v>
      </c>
      <c r="X90" s="15">
        <f>MIN(Constants!$C$8,MAX(Constants!$C$7,Constants!$C$5+R90*Constants!$C$6))</f>
        <v>0.75</v>
      </c>
      <c r="Y90" s="14">
        <f t="shared" si="5"/>
        <v>34.650000000000006</v>
      </c>
      <c r="Z90" s="15">
        <f>MIN(Constants!$C$16,MAX(Constants!$C$15,Constants!$C$13-T90*Constants!$C$17-IF(E90="Shieldbearer",Constants!$C$19,0)))</f>
        <v>0.83799999999999997</v>
      </c>
      <c r="AA90" s="15">
        <f>MIN(Constants!$C$24,Q90*Constants!$C$23)</f>
        <v>1.2E-2</v>
      </c>
      <c r="AB90" s="15">
        <f>MIN(Constants!$C$36,Constants!$C$34+P90*Constants!$C$35)</f>
        <v>0.14600000000000002</v>
      </c>
      <c r="AC90" s="14">
        <f>Constants!$C$46/U90</f>
        <v>6.666666666666667</v>
      </c>
      <c r="AD90" s="15" t="str">
        <f>IF(LEFT(C90,11)="Legionnaire",Constants!$C$40*0.5*MAX(0,1-(P90+Q90)/Constants!$C$41),"-")</f>
        <v>-</v>
      </c>
      <c r="AE90" s="9" t="str">
        <f>IF(D90="Enemy",ROUNDUP(O90/Constants!$C$42,0),"-")</f>
        <v>-</v>
      </c>
    </row>
    <row r="91" spans="1:31" x14ac:dyDescent="0.25">
      <c r="A91" s="9" t="str">
        <f t="shared" si="4"/>
        <v>rome - Peter</v>
      </c>
      <c r="B91" s="17" t="s">
        <v>152</v>
      </c>
      <c r="C91" s="17" t="s">
        <v>115</v>
      </c>
      <c r="D91" s="17" t="s">
        <v>89</v>
      </c>
      <c r="E91" s="17" t="s">
        <v>116</v>
      </c>
      <c r="F91" s="17">
        <v>1</v>
      </c>
      <c r="G91" s="17"/>
      <c r="H91" s="17" t="s">
        <v>117</v>
      </c>
      <c r="I91" s="17">
        <v>12</v>
      </c>
      <c r="J91" s="17">
        <v>3</v>
      </c>
      <c r="K91" s="17">
        <v>1</v>
      </c>
      <c r="L91" s="17">
        <v>20</v>
      </c>
      <c r="M91" s="17">
        <v>10</v>
      </c>
      <c r="N91" s="17">
        <v>28</v>
      </c>
      <c r="O91" s="17">
        <v>122</v>
      </c>
      <c r="P91" s="17">
        <v>6</v>
      </c>
      <c r="Q91" s="17">
        <v>32</v>
      </c>
      <c r="R91" s="17">
        <v>25</v>
      </c>
      <c r="S91" s="9">
        <f>M91+IFERROR(INDEX('Level Growth'!$C$4:$C$12,MATCH(E91,'Level Growth'!$A$4:$A$12,0)),'Level Growth'!$C$12)*(F91-1)</f>
        <v>10</v>
      </c>
      <c r="T91" s="9">
        <f>N91+IFERROR(INDEX('Level Growth'!$D$4:$D$12,MATCH(E91,'Level Growth'!$A$4:$A$12,0)),'Level Growth'!$D$12)*(F91-1)</f>
        <v>28</v>
      </c>
      <c r="U91" s="9">
        <f>I91+INT(F91/Constants!$C$52)</f>
        <v>12</v>
      </c>
      <c r="V91" s="9">
        <f>J91+IF(G91="horse",Constants!$C$45,0)</f>
        <v>3</v>
      </c>
      <c r="W91" s="14">
        <f>(O91+S91)*Constants!$C$3*IF(E91="Missionary",Constants!$C$4,1)</f>
        <v>26.400000000000002</v>
      </c>
      <c r="X91" s="15">
        <f>MIN(Constants!$C$8,MAX(Constants!$C$7,Constants!$C$5+R91*Constants!$C$6))</f>
        <v>0.8</v>
      </c>
      <c r="Y91" s="14">
        <f t="shared" si="5"/>
        <v>21.120000000000005</v>
      </c>
      <c r="Z91" s="15">
        <f>MIN(Constants!$C$16,MAX(Constants!$C$15,Constants!$C$13-T91*Constants!$C$17-IF(E91="Shieldbearer",Constants!$C$19,0)))</f>
        <v>0.79399999999999993</v>
      </c>
      <c r="AA91" s="15">
        <f>MIN(Constants!$C$24,Q91*Constants!$C$23)</f>
        <v>0.128</v>
      </c>
      <c r="AB91" s="15">
        <f>MIN(Constants!$C$36,Constants!$C$34+P91*Constants!$C$35)</f>
        <v>7.400000000000001E-2</v>
      </c>
      <c r="AC91" s="14">
        <f>Constants!$C$46/U91</f>
        <v>8.3333333333333339</v>
      </c>
      <c r="AD91" s="15" t="str">
        <f>IF(LEFT(C91,11)="Legionnaire",Constants!$C$40*0.5*MAX(0,1-(P91+Q91)/Constants!$C$41),"-")</f>
        <v>-</v>
      </c>
      <c r="AE91" s="9" t="str">
        <f>IF(D91="Enemy",ROUNDUP(O91/Constants!$C$42,0),"-")</f>
        <v>-</v>
      </c>
    </row>
    <row r="92" spans="1:31" x14ac:dyDescent="0.25">
      <c r="A92" s="9" t="str">
        <f t="shared" si="4"/>
        <v>rome - Barnabas</v>
      </c>
      <c r="B92" s="17" t="s">
        <v>152</v>
      </c>
      <c r="C92" s="17" t="s">
        <v>118</v>
      </c>
      <c r="D92" s="17" t="s">
        <v>89</v>
      </c>
      <c r="E92" s="17" t="s">
        <v>116</v>
      </c>
      <c r="F92" s="17">
        <v>1</v>
      </c>
      <c r="G92" s="17"/>
      <c r="H92" s="17" t="s">
        <v>119</v>
      </c>
      <c r="I92" s="17">
        <v>11</v>
      </c>
      <c r="J92" s="17">
        <v>3</v>
      </c>
      <c r="K92" s="17">
        <v>1</v>
      </c>
      <c r="L92" s="17">
        <v>15</v>
      </c>
      <c r="M92" s="17">
        <v>38</v>
      </c>
      <c r="N92" s="17">
        <v>48</v>
      </c>
      <c r="O92" s="17">
        <v>150</v>
      </c>
      <c r="P92" s="17">
        <v>40</v>
      </c>
      <c r="Q92" s="17">
        <v>33</v>
      </c>
      <c r="R92" s="17">
        <v>21</v>
      </c>
      <c r="S92" s="9">
        <f>M92+IFERROR(INDEX('Level Growth'!$C$4:$C$12,MATCH(E92,'Level Growth'!$A$4:$A$12,0)),'Level Growth'!$C$12)*(F92-1)</f>
        <v>38</v>
      </c>
      <c r="T92" s="9">
        <f>N92+IFERROR(INDEX('Level Growth'!$D$4:$D$12,MATCH(E92,'Level Growth'!$A$4:$A$12,0)),'Level Growth'!$D$12)*(F92-1)</f>
        <v>48</v>
      </c>
      <c r="U92" s="9">
        <f>I92+INT(F92/Constants!$C$52)</f>
        <v>11</v>
      </c>
      <c r="V92" s="9">
        <f>J92+IF(G92="horse",Constants!$C$45,0)</f>
        <v>3</v>
      </c>
      <c r="W92" s="14">
        <f>(O92+S92)*Constants!$C$3*IF(E92="Missionary",Constants!$C$4,1)</f>
        <v>37.6</v>
      </c>
      <c r="X92" s="15">
        <f>MIN(Constants!$C$8,MAX(Constants!$C$7,Constants!$C$5+R92*Constants!$C$6))</f>
        <v>0.76</v>
      </c>
      <c r="Y92" s="14">
        <f t="shared" si="5"/>
        <v>28.576000000000001</v>
      </c>
      <c r="Z92" s="15">
        <f>MIN(Constants!$C$16,MAX(Constants!$C$15,Constants!$C$13-T92*Constants!$C$17-IF(E92="Shieldbearer",Constants!$C$19,0)))</f>
        <v>0.754</v>
      </c>
      <c r="AA92" s="15">
        <f>MIN(Constants!$C$24,Q92*Constants!$C$23)</f>
        <v>0.13200000000000001</v>
      </c>
      <c r="AB92" s="15">
        <f>MIN(Constants!$C$36,Constants!$C$34+P92*Constants!$C$35)</f>
        <v>0.21000000000000002</v>
      </c>
      <c r="AC92" s="14">
        <f>Constants!$C$46/U92</f>
        <v>9.0909090909090917</v>
      </c>
      <c r="AD92" s="15" t="str">
        <f>IF(LEFT(C92,11)="Legionnaire",Constants!$C$40*0.5*MAX(0,1-(P92+Q92)/Constants!$C$41),"-")</f>
        <v>-</v>
      </c>
      <c r="AE92" s="9" t="str">
        <f>IF(D92="Enemy",ROUNDUP(O92/Constants!$C$42,0),"-")</f>
        <v>-</v>
      </c>
    </row>
    <row r="93" spans="1:31" x14ac:dyDescent="0.25">
      <c r="A93" s="9" t="str">
        <f t="shared" si="4"/>
        <v>rome - Mark</v>
      </c>
      <c r="B93" s="17" t="s">
        <v>152</v>
      </c>
      <c r="C93" s="17" t="s">
        <v>120</v>
      </c>
      <c r="D93" s="17" t="s">
        <v>89</v>
      </c>
      <c r="E93" s="17" t="s">
        <v>116</v>
      </c>
      <c r="F93" s="17">
        <v>1</v>
      </c>
      <c r="G93" s="17"/>
      <c r="H93" s="17" t="s">
        <v>121</v>
      </c>
      <c r="I93" s="17">
        <v>13</v>
      </c>
      <c r="J93" s="17">
        <v>3</v>
      </c>
      <c r="K93" s="17">
        <v>1</v>
      </c>
      <c r="L93" s="17">
        <v>10</v>
      </c>
      <c r="M93" s="17">
        <v>12</v>
      </c>
      <c r="N93" s="17">
        <v>16</v>
      </c>
      <c r="O93" s="17">
        <v>118</v>
      </c>
      <c r="P93" s="17">
        <v>41</v>
      </c>
      <c r="Q93" s="17">
        <v>26</v>
      </c>
      <c r="R93" s="17">
        <v>45</v>
      </c>
      <c r="S93" s="9">
        <f>M93+IFERROR(INDEX('Level Growth'!$C$4:$C$12,MATCH(E93,'Level Growth'!$A$4:$A$12,0)),'Level Growth'!$C$12)*(F93-1)</f>
        <v>12</v>
      </c>
      <c r="T93" s="9">
        <f>N93+IFERROR(INDEX('Level Growth'!$D$4:$D$12,MATCH(E93,'Level Growth'!$A$4:$A$12,0)),'Level Growth'!$D$12)*(F93-1)</f>
        <v>16</v>
      </c>
      <c r="U93" s="9">
        <f>I93+INT(F93/Constants!$C$52)</f>
        <v>13</v>
      </c>
      <c r="V93" s="9">
        <f>J93+IF(G93="horse",Constants!$C$45,0)</f>
        <v>3</v>
      </c>
      <c r="W93" s="14">
        <f>(O93+S93)*Constants!$C$3*IF(E93="Missionary",Constants!$C$4,1)</f>
        <v>26</v>
      </c>
      <c r="X93" s="15">
        <f>MIN(Constants!$C$8,MAX(Constants!$C$7,Constants!$C$5+R93*Constants!$C$6))</f>
        <v>0.98</v>
      </c>
      <c r="Y93" s="14">
        <f t="shared" si="5"/>
        <v>25.48</v>
      </c>
      <c r="Z93" s="15">
        <f>MIN(Constants!$C$16,MAX(Constants!$C$15,Constants!$C$13-T93*Constants!$C$17-IF(E93="Shieldbearer",Constants!$C$19,0)))</f>
        <v>0.81799999999999995</v>
      </c>
      <c r="AA93" s="15">
        <f>MIN(Constants!$C$24,Q93*Constants!$C$23)</f>
        <v>0.10400000000000001</v>
      </c>
      <c r="AB93" s="15">
        <f>MIN(Constants!$C$36,Constants!$C$34+P93*Constants!$C$35)</f>
        <v>0.21400000000000002</v>
      </c>
      <c r="AC93" s="14">
        <f>Constants!$C$46/U93</f>
        <v>7.6923076923076925</v>
      </c>
      <c r="AD93" s="15" t="str">
        <f>IF(LEFT(C93,11)="Legionnaire",Constants!$C$40*0.5*MAX(0,1-(P93+Q93)/Constants!$C$41),"-")</f>
        <v>-</v>
      </c>
      <c r="AE93" s="9" t="str">
        <f>IF(D93="Enemy",ROUNDUP(O93/Constants!$C$42,0),"-")</f>
        <v>-</v>
      </c>
    </row>
    <row r="94" spans="1:31" x14ac:dyDescent="0.25">
      <c r="A94" s="9" t="str">
        <f t="shared" si="4"/>
        <v>rome - John</v>
      </c>
      <c r="B94" s="17" t="s">
        <v>152</v>
      </c>
      <c r="C94" s="17" t="s">
        <v>122</v>
      </c>
      <c r="D94" s="17" t="s">
        <v>89</v>
      </c>
      <c r="E94" s="17" t="s">
        <v>116</v>
      </c>
      <c r="F94" s="17">
        <v>1</v>
      </c>
      <c r="G94" s="17"/>
      <c r="H94" s="17" t="s">
        <v>123</v>
      </c>
      <c r="I94" s="17">
        <v>11</v>
      </c>
      <c r="J94" s="17">
        <v>3</v>
      </c>
      <c r="K94" s="17">
        <v>1</v>
      </c>
      <c r="L94" s="17">
        <v>50</v>
      </c>
      <c r="M94" s="17">
        <v>31</v>
      </c>
      <c r="N94" s="17">
        <v>26</v>
      </c>
      <c r="O94" s="17">
        <v>113</v>
      </c>
      <c r="P94" s="17">
        <v>19</v>
      </c>
      <c r="Q94" s="17">
        <v>13</v>
      </c>
      <c r="R94" s="17">
        <v>34</v>
      </c>
      <c r="S94" s="9">
        <f>M94+IFERROR(INDEX('Level Growth'!$C$4:$C$12,MATCH(E94,'Level Growth'!$A$4:$A$12,0)),'Level Growth'!$C$12)*(F94-1)</f>
        <v>31</v>
      </c>
      <c r="T94" s="9">
        <f>N94+IFERROR(INDEX('Level Growth'!$D$4:$D$12,MATCH(E94,'Level Growth'!$A$4:$A$12,0)),'Level Growth'!$D$12)*(F94-1)</f>
        <v>26</v>
      </c>
      <c r="U94" s="9">
        <f>I94+INT(F94/Constants!$C$52)</f>
        <v>11</v>
      </c>
      <c r="V94" s="9">
        <f>J94+IF(G94="horse",Constants!$C$45,0)</f>
        <v>3</v>
      </c>
      <c r="W94" s="14">
        <f>(O94+S94)*Constants!$C$3*IF(E94="Missionary",Constants!$C$4,1)</f>
        <v>28.8</v>
      </c>
      <c r="X94" s="15">
        <f>MIN(Constants!$C$8,MAX(Constants!$C$7,Constants!$C$5+R94*Constants!$C$6))</f>
        <v>0.89000000000000012</v>
      </c>
      <c r="Y94" s="14">
        <f t="shared" si="5"/>
        <v>25.632000000000005</v>
      </c>
      <c r="Z94" s="15">
        <f>MIN(Constants!$C$16,MAX(Constants!$C$15,Constants!$C$13-T94*Constants!$C$17-IF(E94="Shieldbearer",Constants!$C$19,0)))</f>
        <v>0.79799999999999993</v>
      </c>
      <c r="AA94" s="15">
        <f>MIN(Constants!$C$24,Q94*Constants!$C$23)</f>
        <v>5.2000000000000005E-2</v>
      </c>
      <c r="AB94" s="15">
        <f>MIN(Constants!$C$36,Constants!$C$34+P94*Constants!$C$35)</f>
        <v>0.126</v>
      </c>
      <c r="AC94" s="14">
        <f>Constants!$C$46/U94</f>
        <v>9.0909090909090917</v>
      </c>
      <c r="AD94" s="15" t="str">
        <f>IF(LEFT(C94,11)="Legionnaire",Constants!$C$40*0.5*MAX(0,1-(P94+Q94)/Constants!$C$41),"-")</f>
        <v>-</v>
      </c>
      <c r="AE94" s="9" t="str">
        <f>IF(D94="Enemy",ROUNDUP(O94/Constants!$C$42,0),"-")</f>
        <v>-</v>
      </c>
    </row>
    <row r="95" spans="1:31" x14ac:dyDescent="0.25">
      <c r="A95" s="9" t="str">
        <f t="shared" si="4"/>
        <v>rome - Philip</v>
      </c>
      <c r="B95" s="17" t="s">
        <v>152</v>
      </c>
      <c r="C95" s="17" t="s">
        <v>137</v>
      </c>
      <c r="D95" s="17" t="s">
        <v>89</v>
      </c>
      <c r="E95" s="17" t="s">
        <v>116</v>
      </c>
      <c r="F95" s="17">
        <v>1</v>
      </c>
      <c r="G95" s="17"/>
      <c r="H95" s="17" t="s">
        <v>138</v>
      </c>
      <c r="I95" s="17">
        <v>10</v>
      </c>
      <c r="J95" s="17">
        <v>2</v>
      </c>
      <c r="K95" s="17">
        <v>1</v>
      </c>
      <c r="L95" s="17">
        <v>30</v>
      </c>
      <c r="M95" s="17">
        <v>32</v>
      </c>
      <c r="N95" s="17">
        <v>27</v>
      </c>
      <c r="O95" s="17">
        <v>138</v>
      </c>
      <c r="P95" s="17">
        <v>20</v>
      </c>
      <c r="Q95" s="17">
        <v>36</v>
      </c>
      <c r="R95" s="17">
        <v>31</v>
      </c>
      <c r="S95" s="9">
        <f>M95+IFERROR(INDEX('Level Growth'!$C$4:$C$12,MATCH(E95,'Level Growth'!$A$4:$A$12,0)),'Level Growth'!$C$12)*(F95-1)</f>
        <v>32</v>
      </c>
      <c r="T95" s="9">
        <f>N95+IFERROR(INDEX('Level Growth'!$D$4:$D$12,MATCH(E95,'Level Growth'!$A$4:$A$12,0)),'Level Growth'!$D$12)*(F95-1)</f>
        <v>27</v>
      </c>
      <c r="U95" s="9">
        <f>I95+INT(F95/Constants!$C$52)</f>
        <v>10</v>
      </c>
      <c r="V95" s="9">
        <f>J95+IF(G95="horse",Constants!$C$45,0)</f>
        <v>2</v>
      </c>
      <c r="W95" s="14">
        <f>(O95+S95)*Constants!$C$3*IF(E95="Missionary",Constants!$C$4,1)</f>
        <v>34</v>
      </c>
      <c r="X95" s="15">
        <f>MIN(Constants!$C$8,MAX(Constants!$C$7,Constants!$C$5+R95*Constants!$C$6))</f>
        <v>0.8600000000000001</v>
      </c>
      <c r="Y95" s="14">
        <f t="shared" si="5"/>
        <v>29.240000000000002</v>
      </c>
      <c r="Z95" s="15">
        <f>MIN(Constants!$C$16,MAX(Constants!$C$15,Constants!$C$13-T95*Constants!$C$17-IF(E95="Shieldbearer",Constants!$C$19,0)))</f>
        <v>0.79599999999999993</v>
      </c>
      <c r="AA95" s="15">
        <f>MIN(Constants!$C$24,Q95*Constants!$C$23)</f>
        <v>0.14400000000000002</v>
      </c>
      <c r="AB95" s="15">
        <f>MIN(Constants!$C$36,Constants!$C$34+P95*Constants!$C$35)</f>
        <v>0.13</v>
      </c>
      <c r="AC95" s="14">
        <f>Constants!$C$46/U95</f>
        <v>10</v>
      </c>
      <c r="AD95" s="15" t="str">
        <f>IF(LEFT(C95,11)="Legionnaire",Constants!$C$40*0.5*MAX(0,1-(P95+Q95)/Constants!$C$41),"-")</f>
        <v>-</v>
      </c>
      <c r="AE95" s="9" t="str">
        <f>IF(D95="Enemy",ROUNDUP(O95/Constants!$C$42,0),"-")</f>
        <v>-</v>
      </c>
    </row>
    <row r="96" spans="1:31" x14ac:dyDescent="0.25">
      <c r="A96" s="9" t="str">
        <f t="shared" si="4"/>
        <v>rome - Timothy</v>
      </c>
      <c r="B96" s="17" t="s">
        <v>152</v>
      </c>
      <c r="C96" s="17" t="s">
        <v>139</v>
      </c>
      <c r="D96" s="17" t="s">
        <v>89</v>
      </c>
      <c r="E96" s="17" t="s">
        <v>116</v>
      </c>
      <c r="F96" s="17">
        <v>1</v>
      </c>
      <c r="G96" s="17"/>
      <c r="H96" s="17" t="s">
        <v>121</v>
      </c>
      <c r="I96" s="17">
        <v>11</v>
      </c>
      <c r="J96" s="17">
        <v>3</v>
      </c>
      <c r="K96" s="17">
        <v>1</v>
      </c>
      <c r="L96" s="17">
        <v>0</v>
      </c>
      <c r="M96" s="17">
        <v>14</v>
      </c>
      <c r="N96" s="17">
        <v>20</v>
      </c>
      <c r="O96" s="17">
        <v>128</v>
      </c>
      <c r="P96" s="17">
        <v>30</v>
      </c>
      <c r="Q96" s="17">
        <v>24</v>
      </c>
      <c r="R96" s="17">
        <v>30</v>
      </c>
      <c r="S96" s="9">
        <f>M96+IFERROR(INDEX('Level Growth'!$C$4:$C$12,MATCH(E96,'Level Growth'!$A$4:$A$12,0)),'Level Growth'!$C$12)*(F96-1)</f>
        <v>14</v>
      </c>
      <c r="T96" s="9">
        <f>N96+IFERROR(INDEX('Level Growth'!$D$4:$D$12,MATCH(E96,'Level Growth'!$A$4:$A$12,0)),'Level Growth'!$D$12)*(F96-1)</f>
        <v>20</v>
      </c>
      <c r="U96" s="9">
        <f>I96+INT(F96/Constants!$C$52)</f>
        <v>11</v>
      </c>
      <c r="V96" s="9">
        <f>J96+IF(G96="horse",Constants!$C$45,0)</f>
        <v>3</v>
      </c>
      <c r="W96" s="14">
        <f>(O96+S96)*Constants!$C$3*IF(E96="Missionary",Constants!$C$4,1)</f>
        <v>28.400000000000002</v>
      </c>
      <c r="X96" s="15">
        <f>MIN(Constants!$C$8,MAX(Constants!$C$7,Constants!$C$5+R96*Constants!$C$6))</f>
        <v>0.85000000000000009</v>
      </c>
      <c r="Y96" s="14">
        <f t="shared" si="5"/>
        <v>24.140000000000004</v>
      </c>
      <c r="Z96" s="15">
        <f>MIN(Constants!$C$16,MAX(Constants!$C$15,Constants!$C$13-T96*Constants!$C$17-IF(E96="Shieldbearer",Constants!$C$19,0)))</f>
        <v>0.80999999999999994</v>
      </c>
      <c r="AA96" s="15">
        <f>MIN(Constants!$C$24,Q96*Constants!$C$23)</f>
        <v>9.6000000000000002E-2</v>
      </c>
      <c r="AB96" s="15">
        <f>MIN(Constants!$C$36,Constants!$C$34+P96*Constants!$C$35)</f>
        <v>0.16999999999999998</v>
      </c>
      <c r="AC96" s="14">
        <f>Constants!$C$46/U96</f>
        <v>9.0909090909090917</v>
      </c>
      <c r="AD96" s="15" t="str">
        <f>IF(LEFT(C96,11)="Legionnaire",Constants!$C$40*0.5*MAX(0,1-(P96+Q96)/Constants!$C$41),"-")</f>
        <v>-</v>
      </c>
      <c r="AE96" s="9" t="str">
        <f>IF(D96="Enemy",ROUNDUP(O96/Constants!$C$42,0),"-")</f>
        <v>-</v>
      </c>
    </row>
    <row r="97" spans="1:31" x14ac:dyDescent="0.25">
      <c r="A97" s="9" t="str">
        <f t="shared" si="4"/>
        <v>rome - Luke</v>
      </c>
      <c r="B97" s="17" t="s">
        <v>152</v>
      </c>
      <c r="C97" s="17" t="s">
        <v>140</v>
      </c>
      <c r="D97" s="17" t="s">
        <v>89</v>
      </c>
      <c r="E97" s="17" t="s">
        <v>116</v>
      </c>
      <c r="F97" s="17">
        <v>1</v>
      </c>
      <c r="G97" s="17"/>
      <c r="H97" s="17" t="s">
        <v>105</v>
      </c>
      <c r="I97" s="17">
        <v>10</v>
      </c>
      <c r="J97" s="17">
        <v>2</v>
      </c>
      <c r="K97" s="17">
        <v>1</v>
      </c>
      <c r="L97" s="17">
        <v>25</v>
      </c>
      <c r="M97" s="17">
        <v>38</v>
      </c>
      <c r="N97" s="17">
        <v>32</v>
      </c>
      <c r="O97" s="17">
        <v>120</v>
      </c>
      <c r="P97" s="17">
        <v>41</v>
      </c>
      <c r="Q97" s="17">
        <v>32</v>
      </c>
      <c r="R97" s="17">
        <v>28</v>
      </c>
      <c r="S97" s="9">
        <f>M97+IFERROR(INDEX('Level Growth'!$C$4:$C$12,MATCH(E97,'Level Growth'!$A$4:$A$12,0)),'Level Growth'!$C$12)*(F97-1)</f>
        <v>38</v>
      </c>
      <c r="T97" s="9">
        <f>N97+IFERROR(INDEX('Level Growth'!$D$4:$D$12,MATCH(E97,'Level Growth'!$A$4:$A$12,0)),'Level Growth'!$D$12)*(F97-1)</f>
        <v>32</v>
      </c>
      <c r="U97" s="9">
        <f>I97+INT(F97/Constants!$C$52)</f>
        <v>10</v>
      </c>
      <c r="V97" s="9">
        <f>J97+IF(G97="horse",Constants!$C$45,0)</f>
        <v>2</v>
      </c>
      <c r="W97" s="14">
        <f>(O97+S97)*Constants!$C$3*IF(E97="Missionary",Constants!$C$4,1)</f>
        <v>31.6</v>
      </c>
      <c r="X97" s="15">
        <f>MIN(Constants!$C$8,MAX(Constants!$C$7,Constants!$C$5+R97*Constants!$C$6))</f>
        <v>0.83000000000000007</v>
      </c>
      <c r="Y97" s="14">
        <f t="shared" si="5"/>
        <v>26.228000000000005</v>
      </c>
      <c r="Z97" s="15">
        <f>MIN(Constants!$C$16,MAX(Constants!$C$15,Constants!$C$13-T97*Constants!$C$17-IF(E97="Shieldbearer",Constants!$C$19,0)))</f>
        <v>0.78600000000000003</v>
      </c>
      <c r="AA97" s="15">
        <f>MIN(Constants!$C$24,Q97*Constants!$C$23)</f>
        <v>0.128</v>
      </c>
      <c r="AB97" s="15">
        <f>MIN(Constants!$C$36,Constants!$C$34+P97*Constants!$C$35)</f>
        <v>0.21400000000000002</v>
      </c>
      <c r="AC97" s="14">
        <f>Constants!$C$46/U97</f>
        <v>10</v>
      </c>
      <c r="AD97" s="15" t="str">
        <f>IF(LEFT(C97,11)="Legionnaire",Constants!$C$40*0.5*MAX(0,1-(P97+Q97)/Constants!$C$41),"-")</f>
        <v>-</v>
      </c>
      <c r="AE97" s="9" t="str">
        <f>IF(D97="Enemy",ROUNDUP(O97/Constants!$C$42,0),"-")</f>
        <v>-</v>
      </c>
    </row>
    <row r="98" spans="1:31" x14ac:dyDescent="0.25">
      <c r="A98" s="9" t="str">
        <f t="shared" ref="A98:A129" si="6">B98&amp;" - "&amp;C98</f>
        <v>rome - Titus</v>
      </c>
      <c r="B98" s="17" t="s">
        <v>152</v>
      </c>
      <c r="C98" s="17" t="s">
        <v>141</v>
      </c>
      <c r="D98" s="17" t="s">
        <v>89</v>
      </c>
      <c r="E98" s="17" t="s">
        <v>116</v>
      </c>
      <c r="F98" s="17">
        <v>1</v>
      </c>
      <c r="G98" s="17"/>
      <c r="H98" s="17" t="s">
        <v>138</v>
      </c>
      <c r="I98" s="17">
        <v>12</v>
      </c>
      <c r="J98" s="17">
        <v>3</v>
      </c>
      <c r="K98" s="17">
        <v>1</v>
      </c>
      <c r="L98" s="17">
        <v>0</v>
      </c>
      <c r="M98" s="17">
        <v>22</v>
      </c>
      <c r="N98" s="17">
        <v>14</v>
      </c>
      <c r="O98" s="17">
        <v>132</v>
      </c>
      <c r="P98" s="17">
        <v>16</v>
      </c>
      <c r="Q98" s="17">
        <v>25</v>
      </c>
      <c r="R98" s="17">
        <v>27</v>
      </c>
      <c r="S98" s="9">
        <f>M98+IFERROR(INDEX('Level Growth'!$C$4:$C$12,MATCH(E98,'Level Growth'!$A$4:$A$12,0)),'Level Growth'!$C$12)*(F98-1)</f>
        <v>22</v>
      </c>
      <c r="T98" s="9">
        <f>N98+IFERROR(INDEX('Level Growth'!$D$4:$D$12,MATCH(E98,'Level Growth'!$A$4:$A$12,0)),'Level Growth'!$D$12)*(F98-1)</f>
        <v>14</v>
      </c>
      <c r="U98" s="9">
        <f>I98+INT(F98/Constants!$C$52)</f>
        <v>12</v>
      </c>
      <c r="V98" s="9">
        <f>J98+IF(G98="horse",Constants!$C$45,0)</f>
        <v>3</v>
      </c>
      <c r="W98" s="14">
        <f>(O98+S98)*Constants!$C$3*IF(E98="Missionary",Constants!$C$4,1)</f>
        <v>30.8</v>
      </c>
      <c r="X98" s="15">
        <f>MIN(Constants!$C$8,MAX(Constants!$C$7,Constants!$C$5+R98*Constants!$C$6))</f>
        <v>0.82000000000000006</v>
      </c>
      <c r="Y98" s="14">
        <f t="shared" ref="Y98:Y129" si="7">W98*X98</f>
        <v>25.256000000000004</v>
      </c>
      <c r="Z98" s="15">
        <f>MIN(Constants!$C$16,MAX(Constants!$C$15,Constants!$C$13-T98*Constants!$C$17-IF(E98="Shieldbearer",Constants!$C$19,0)))</f>
        <v>0.82199999999999995</v>
      </c>
      <c r="AA98" s="15">
        <f>MIN(Constants!$C$24,Q98*Constants!$C$23)</f>
        <v>0.1</v>
      </c>
      <c r="AB98" s="15">
        <f>MIN(Constants!$C$36,Constants!$C$34+P98*Constants!$C$35)</f>
        <v>0.114</v>
      </c>
      <c r="AC98" s="14">
        <f>Constants!$C$46/U98</f>
        <v>8.3333333333333339</v>
      </c>
      <c r="AD98" s="15" t="str">
        <f>IF(LEFT(C98,11)="Legionnaire",Constants!$C$40*0.5*MAX(0,1-(P98+Q98)/Constants!$C$41),"-")</f>
        <v>-</v>
      </c>
      <c r="AE98" s="9" t="str">
        <f>IF(D98="Enemy",ROUNDUP(O98/Constants!$C$42,0),"-")</f>
        <v>-</v>
      </c>
    </row>
    <row r="99" spans="1:31" x14ac:dyDescent="0.25">
      <c r="A99" s="9" t="str">
        <f t="shared" si="6"/>
        <v>rome - Silas</v>
      </c>
      <c r="B99" s="17" t="s">
        <v>152</v>
      </c>
      <c r="C99" s="17" t="s">
        <v>142</v>
      </c>
      <c r="D99" s="17" t="s">
        <v>89</v>
      </c>
      <c r="E99" s="17" t="s">
        <v>116</v>
      </c>
      <c r="F99" s="17">
        <v>1</v>
      </c>
      <c r="G99" s="17"/>
      <c r="H99" s="17" t="s">
        <v>111</v>
      </c>
      <c r="I99" s="17">
        <v>11</v>
      </c>
      <c r="J99" s="17">
        <v>3</v>
      </c>
      <c r="K99" s="17">
        <v>1</v>
      </c>
      <c r="L99" s="17">
        <v>0</v>
      </c>
      <c r="M99" s="17">
        <v>15</v>
      </c>
      <c r="N99" s="17">
        <v>20</v>
      </c>
      <c r="O99" s="17">
        <v>119</v>
      </c>
      <c r="P99" s="17">
        <v>29</v>
      </c>
      <c r="Q99" s="17">
        <v>32</v>
      </c>
      <c r="R99" s="17">
        <v>25</v>
      </c>
      <c r="S99" s="9">
        <f>M99+IFERROR(INDEX('Level Growth'!$C$4:$C$12,MATCH(E99,'Level Growth'!$A$4:$A$12,0)),'Level Growth'!$C$12)*(F99-1)</f>
        <v>15</v>
      </c>
      <c r="T99" s="9">
        <f>N99+IFERROR(INDEX('Level Growth'!$D$4:$D$12,MATCH(E99,'Level Growth'!$A$4:$A$12,0)),'Level Growth'!$D$12)*(F99-1)</f>
        <v>20</v>
      </c>
      <c r="U99" s="9">
        <f>I99+INT(F99/Constants!$C$52)</f>
        <v>11</v>
      </c>
      <c r="V99" s="9">
        <f>J99+IF(G99="horse",Constants!$C$45,0)</f>
        <v>3</v>
      </c>
      <c r="W99" s="14">
        <f>(O99+S99)*Constants!$C$3*IF(E99="Missionary",Constants!$C$4,1)</f>
        <v>26.8</v>
      </c>
      <c r="X99" s="15">
        <f>MIN(Constants!$C$8,MAX(Constants!$C$7,Constants!$C$5+R99*Constants!$C$6))</f>
        <v>0.8</v>
      </c>
      <c r="Y99" s="14">
        <f t="shared" si="7"/>
        <v>21.44</v>
      </c>
      <c r="Z99" s="15">
        <f>MIN(Constants!$C$16,MAX(Constants!$C$15,Constants!$C$13-T99*Constants!$C$17-IF(E99="Shieldbearer",Constants!$C$19,0)))</f>
        <v>0.80999999999999994</v>
      </c>
      <c r="AA99" s="15">
        <f>MIN(Constants!$C$24,Q99*Constants!$C$23)</f>
        <v>0.128</v>
      </c>
      <c r="AB99" s="15">
        <f>MIN(Constants!$C$36,Constants!$C$34+P99*Constants!$C$35)</f>
        <v>0.16600000000000001</v>
      </c>
      <c r="AC99" s="14">
        <f>Constants!$C$46/U99</f>
        <v>9.0909090909090917</v>
      </c>
      <c r="AD99" s="15" t="str">
        <f>IF(LEFT(C99,11)="Legionnaire",Constants!$C$40*0.5*MAX(0,1-(P99+Q99)/Constants!$C$41),"-")</f>
        <v>-</v>
      </c>
      <c r="AE99" s="9" t="str">
        <f>IF(D99="Enemy",ROUNDUP(O99/Constants!$C$42,0),"-")</f>
        <v>-</v>
      </c>
    </row>
    <row r="100" spans="1:31" x14ac:dyDescent="0.25">
      <c r="A100" s="9" t="str">
        <f t="shared" si="6"/>
        <v>rome - Priscilla</v>
      </c>
      <c r="B100" s="17" t="s">
        <v>152</v>
      </c>
      <c r="C100" s="17" t="s">
        <v>143</v>
      </c>
      <c r="D100" s="17" t="s">
        <v>89</v>
      </c>
      <c r="E100" s="17" t="s">
        <v>116</v>
      </c>
      <c r="F100" s="17">
        <v>1</v>
      </c>
      <c r="G100" s="17"/>
      <c r="H100" s="17" t="s">
        <v>138</v>
      </c>
      <c r="I100" s="17">
        <v>10</v>
      </c>
      <c r="J100" s="17">
        <v>2</v>
      </c>
      <c r="K100" s="17">
        <v>1</v>
      </c>
      <c r="L100" s="17">
        <v>20</v>
      </c>
      <c r="M100" s="17">
        <v>36</v>
      </c>
      <c r="N100" s="17">
        <v>36</v>
      </c>
      <c r="O100" s="17">
        <v>130</v>
      </c>
      <c r="P100" s="17">
        <v>30</v>
      </c>
      <c r="Q100" s="17">
        <v>36</v>
      </c>
      <c r="R100" s="17">
        <v>31</v>
      </c>
      <c r="S100" s="9">
        <f>M100+IFERROR(INDEX('Level Growth'!$C$4:$C$12,MATCH(E100,'Level Growth'!$A$4:$A$12,0)),'Level Growth'!$C$12)*(F100-1)</f>
        <v>36</v>
      </c>
      <c r="T100" s="9">
        <f>N100+IFERROR(INDEX('Level Growth'!$D$4:$D$12,MATCH(E100,'Level Growth'!$A$4:$A$12,0)),'Level Growth'!$D$12)*(F100-1)</f>
        <v>36</v>
      </c>
      <c r="U100" s="9">
        <f>I100+INT(F100/Constants!$C$52)</f>
        <v>10</v>
      </c>
      <c r="V100" s="9">
        <f>J100+IF(G100="horse",Constants!$C$45,0)</f>
        <v>2</v>
      </c>
      <c r="W100" s="14">
        <f>(O100+S100)*Constants!$C$3*IF(E100="Missionary",Constants!$C$4,1)</f>
        <v>33.200000000000003</v>
      </c>
      <c r="X100" s="15">
        <f>MIN(Constants!$C$8,MAX(Constants!$C$7,Constants!$C$5+R100*Constants!$C$6))</f>
        <v>0.8600000000000001</v>
      </c>
      <c r="Y100" s="14">
        <f t="shared" si="7"/>
        <v>28.552000000000007</v>
      </c>
      <c r="Z100" s="15">
        <f>MIN(Constants!$C$16,MAX(Constants!$C$15,Constants!$C$13-T100*Constants!$C$17-IF(E100="Shieldbearer",Constants!$C$19,0)))</f>
        <v>0.77800000000000002</v>
      </c>
      <c r="AA100" s="15">
        <f>MIN(Constants!$C$24,Q100*Constants!$C$23)</f>
        <v>0.14400000000000002</v>
      </c>
      <c r="AB100" s="15">
        <f>MIN(Constants!$C$36,Constants!$C$34+P100*Constants!$C$35)</f>
        <v>0.16999999999999998</v>
      </c>
      <c r="AC100" s="14">
        <f>Constants!$C$46/U100</f>
        <v>10</v>
      </c>
      <c r="AD100" s="15" t="str">
        <f>IF(LEFT(C100,11)="Legionnaire",Constants!$C$40*0.5*MAX(0,1-(P100+Q100)/Constants!$C$41),"-")</f>
        <v>-</v>
      </c>
      <c r="AE100" s="9" t="str">
        <f>IF(D100="Enemy",ROUNDUP(O100/Constants!$C$42,0),"-")</f>
        <v>-</v>
      </c>
    </row>
    <row r="101" spans="1:31" x14ac:dyDescent="0.25">
      <c r="A101" s="9" t="str">
        <f t="shared" si="6"/>
        <v>rome - Aquila</v>
      </c>
      <c r="B101" s="17" t="s">
        <v>152</v>
      </c>
      <c r="C101" s="17" t="s">
        <v>144</v>
      </c>
      <c r="D101" s="17" t="s">
        <v>89</v>
      </c>
      <c r="E101" s="17" t="s">
        <v>116</v>
      </c>
      <c r="F101" s="17">
        <v>1</v>
      </c>
      <c r="G101" s="17"/>
      <c r="H101" s="17" t="s">
        <v>121</v>
      </c>
      <c r="I101" s="17">
        <v>11</v>
      </c>
      <c r="J101" s="17">
        <v>3</v>
      </c>
      <c r="K101" s="17">
        <v>1</v>
      </c>
      <c r="L101" s="17">
        <v>0</v>
      </c>
      <c r="M101" s="17">
        <v>8</v>
      </c>
      <c r="N101" s="17">
        <v>14</v>
      </c>
      <c r="O101" s="17">
        <v>127</v>
      </c>
      <c r="P101" s="17">
        <v>16</v>
      </c>
      <c r="Q101" s="17">
        <v>19</v>
      </c>
      <c r="R101" s="17">
        <v>4</v>
      </c>
      <c r="S101" s="9">
        <f>M101+IFERROR(INDEX('Level Growth'!$C$4:$C$12,MATCH(E101,'Level Growth'!$A$4:$A$12,0)),'Level Growth'!$C$12)*(F101-1)</f>
        <v>8</v>
      </c>
      <c r="T101" s="9">
        <f>N101+IFERROR(INDEX('Level Growth'!$D$4:$D$12,MATCH(E101,'Level Growth'!$A$4:$A$12,0)),'Level Growth'!$D$12)*(F101-1)</f>
        <v>14</v>
      </c>
      <c r="U101" s="9">
        <f>I101+INT(F101/Constants!$C$52)</f>
        <v>11</v>
      </c>
      <c r="V101" s="9">
        <f>J101+IF(G101="horse",Constants!$C$45,0)</f>
        <v>3</v>
      </c>
      <c r="W101" s="14">
        <f>(O101+S101)*Constants!$C$3*IF(E101="Missionary",Constants!$C$4,1)</f>
        <v>27</v>
      </c>
      <c r="X101" s="15">
        <f>MIN(Constants!$C$8,MAX(Constants!$C$7,Constants!$C$5+R101*Constants!$C$6))</f>
        <v>0.59000000000000008</v>
      </c>
      <c r="Y101" s="14">
        <f t="shared" si="7"/>
        <v>15.930000000000001</v>
      </c>
      <c r="Z101" s="15">
        <f>MIN(Constants!$C$16,MAX(Constants!$C$15,Constants!$C$13-T101*Constants!$C$17-IF(E101="Shieldbearer",Constants!$C$19,0)))</f>
        <v>0.82199999999999995</v>
      </c>
      <c r="AA101" s="15">
        <f>MIN(Constants!$C$24,Q101*Constants!$C$23)</f>
        <v>7.5999999999999998E-2</v>
      </c>
      <c r="AB101" s="15">
        <f>MIN(Constants!$C$36,Constants!$C$34+P101*Constants!$C$35)</f>
        <v>0.114</v>
      </c>
      <c r="AC101" s="14">
        <f>Constants!$C$46/U101</f>
        <v>9.0909090909090917</v>
      </c>
      <c r="AD101" s="15" t="str">
        <f>IF(LEFT(C101,11)="Legionnaire",Constants!$C$40*0.5*MAX(0,1-(P101+Q101)/Constants!$C$41),"-")</f>
        <v>-</v>
      </c>
      <c r="AE101" s="9" t="str">
        <f>IF(D101="Enemy",ROUNDUP(O101/Constants!$C$42,0),"-")</f>
        <v>-</v>
      </c>
    </row>
    <row r="102" spans="1:31" x14ac:dyDescent="0.25">
      <c r="A102" s="9" t="str">
        <f t="shared" si="6"/>
        <v>rome - Demas</v>
      </c>
      <c r="B102" s="17" t="s">
        <v>152</v>
      </c>
      <c r="C102" s="17" t="s">
        <v>153</v>
      </c>
      <c r="D102" s="17" t="s">
        <v>103</v>
      </c>
      <c r="E102" s="17" t="s">
        <v>116</v>
      </c>
      <c r="F102" s="17">
        <v>7</v>
      </c>
      <c r="G102" s="17"/>
      <c r="H102" s="17" t="s">
        <v>154</v>
      </c>
      <c r="I102" s="17">
        <v>9</v>
      </c>
      <c r="J102" s="17">
        <v>2</v>
      </c>
      <c r="K102" s="17">
        <v>1</v>
      </c>
      <c r="L102" s="17">
        <v>0</v>
      </c>
      <c r="M102" s="17">
        <v>11</v>
      </c>
      <c r="N102" s="17">
        <v>36</v>
      </c>
      <c r="O102" s="17">
        <v>100</v>
      </c>
      <c r="P102" s="17">
        <v>27</v>
      </c>
      <c r="Q102" s="17">
        <v>35</v>
      </c>
      <c r="R102" s="17">
        <v>36</v>
      </c>
      <c r="S102" s="9">
        <f>M102+IFERROR(INDEX('Level Growth'!$C$4:$C$12,MATCH(E102,'Level Growth'!$A$4:$A$12,0)),'Level Growth'!$C$12)*(F102-1)</f>
        <v>17</v>
      </c>
      <c r="T102" s="9">
        <f>N102+IFERROR(INDEX('Level Growth'!$D$4:$D$12,MATCH(E102,'Level Growth'!$A$4:$A$12,0)),'Level Growth'!$D$12)*(F102-1)</f>
        <v>42</v>
      </c>
      <c r="U102" s="9">
        <f>I102+INT(F102/Constants!$C$52)</f>
        <v>10</v>
      </c>
      <c r="V102" s="9">
        <f>J102+IF(G102="horse",Constants!$C$45,0)</f>
        <v>2</v>
      </c>
      <c r="W102" s="14">
        <f>(O102+S102)*Constants!$C$3*IF(E102="Missionary",Constants!$C$4,1)</f>
        <v>23.400000000000002</v>
      </c>
      <c r="X102" s="15">
        <f>MIN(Constants!$C$8,MAX(Constants!$C$7,Constants!$C$5+R102*Constants!$C$6))</f>
        <v>0.91</v>
      </c>
      <c r="Y102" s="14">
        <f t="shared" si="7"/>
        <v>21.294000000000004</v>
      </c>
      <c r="Z102" s="15">
        <f>MIN(Constants!$C$16,MAX(Constants!$C$15,Constants!$C$13-T102*Constants!$C$17-IF(E102="Shieldbearer",Constants!$C$19,0)))</f>
        <v>0.76600000000000001</v>
      </c>
      <c r="AA102" s="15">
        <f>MIN(Constants!$C$24,Q102*Constants!$C$23)</f>
        <v>0.14000000000000001</v>
      </c>
      <c r="AB102" s="15">
        <f>MIN(Constants!$C$36,Constants!$C$34+P102*Constants!$C$35)</f>
        <v>0.158</v>
      </c>
      <c r="AC102" s="14">
        <f>Constants!$C$46/U102</f>
        <v>10</v>
      </c>
      <c r="AD102" s="15" t="str">
        <f>IF(LEFT(C102,11)="Legionnaire",Constants!$C$40*0.5*MAX(0,1-(P102+Q102)/Constants!$C$41),"-")</f>
        <v>-</v>
      </c>
      <c r="AE102" s="9">
        <f>IF(D102="Enemy",ROUNDUP(O102/Constants!$C$42,0),"-")</f>
        <v>10</v>
      </c>
    </row>
    <row r="103" spans="1:31" x14ac:dyDescent="0.25">
      <c r="A103" s="9" t="str">
        <f t="shared" si="6"/>
        <v>rome - Centurion Marcus</v>
      </c>
      <c r="B103" s="17" t="s">
        <v>152</v>
      </c>
      <c r="C103" s="17" t="s">
        <v>155</v>
      </c>
      <c r="D103" s="17" t="s">
        <v>103</v>
      </c>
      <c r="E103" s="17" t="s">
        <v>156</v>
      </c>
      <c r="F103" s="17">
        <v>8</v>
      </c>
      <c r="G103" s="17"/>
      <c r="H103" s="17" t="s">
        <v>157</v>
      </c>
      <c r="I103" s="17">
        <v>13</v>
      </c>
      <c r="J103" s="17">
        <v>3</v>
      </c>
      <c r="K103" s="17">
        <v>1</v>
      </c>
      <c r="L103" s="17">
        <v>0</v>
      </c>
      <c r="M103" s="17">
        <v>22</v>
      </c>
      <c r="N103" s="17">
        <v>15</v>
      </c>
      <c r="O103" s="17">
        <v>100</v>
      </c>
      <c r="P103" s="17">
        <v>26</v>
      </c>
      <c r="Q103" s="17">
        <v>33</v>
      </c>
      <c r="R103" s="17">
        <v>22</v>
      </c>
      <c r="S103" s="9">
        <f>M103+IFERROR(INDEX('Level Growth'!$C$4:$C$12,MATCH(E103,'Level Growth'!$A$4:$A$12,0)),'Level Growth'!$C$12)*(F103-1)</f>
        <v>29</v>
      </c>
      <c r="T103" s="9">
        <f>N103+IFERROR(INDEX('Level Growth'!$D$4:$D$12,MATCH(E103,'Level Growth'!$A$4:$A$12,0)),'Level Growth'!$D$12)*(F103-1)</f>
        <v>29</v>
      </c>
      <c r="U103" s="9">
        <f>I103+INT(F103/Constants!$C$52)</f>
        <v>14</v>
      </c>
      <c r="V103" s="9">
        <f>J103+IF(G103="horse",Constants!$C$45,0)</f>
        <v>3</v>
      </c>
      <c r="W103" s="14">
        <f>(O103+S103)*Constants!$C$3*IF(E103="Missionary",Constants!$C$4,1)</f>
        <v>25.8</v>
      </c>
      <c r="X103" s="15">
        <f>MIN(Constants!$C$8,MAX(Constants!$C$7,Constants!$C$5+R103*Constants!$C$6))</f>
        <v>0.77</v>
      </c>
      <c r="Y103" s="14">
        <f t="shared" si="7"/>
        <v>19.866</v>
      </c>
      <c r="Z103" s="15">
        <f>MIN(Constants!$C$16,MAX(Constants!$C$15,Constants!$C$13-T103*Constants!$C$17-IF(E103="Shieldbearer",Constants!$C$19,0)))</f>
        <v>0.79199999999999993</v>
      </c>
      <c r="AA103" s="15">
        <f>MIN(Constants!$C$24,Q103*Constants!$C$23)</f>
        <v>0.13200000000000001</v>
      </c>
      <c r="AB103" s="15">
        <f>MIN(Constants!$C$36,Constants!$C$34+P103*Constants!$C$35)</f>
        <v>0.15400000000000003</v>
      </c>
      <c r="AC103" s="14">
        <f>Constants!$C$46/U103</f>
        <v>7.1428571428571432</v>
      </c>
      <c r="AD103" s="15" t="str">
        <f>IF(LEFT(C103,11)="Legionnaire",Constants!$C$40*0.5*MAX(0,1-(P103+Q103)/Constants!$C$41),"-")</f>
        <v>-</v>
      </c>
      <c r="AE103" s="9">
        <f>IF(D103="Enemy",ROUNDUP(O103/Constants!$C$42,0),"-")</f>
        <v>10</v>
      </c>
    </row>
    <row r="104" spans="1:31" x14ac:dyDescent="0.25">
      <c r="A104" s="9" t="str">
        <f t="shared" si="6"/>
        <v>rome - Legionnaire Shieldbearer 1</v>
      </c>
      <c r="B104" s="17" t="s">
        <v>152</v>
      </c>
      <c r="C104" s="17" t="s">
        <v>124</v>
      </c>
      <c r="D104" s="17" t="s">
        <v>103</v>
      </c>
      <c r="E104" s="17" t="s">
        <v>125</v>
      </c>
      <c r="F104" s="17">
        <v>7</v>
      </c>
      <c r="G104" s="17"/>
      <c r="H104" s="17" t="s">
        <v>126</v>
      </c>
      <c r="I104" s="17">
        <v>10</v>
      </c>
      <c r="J104" s="17">
        <v>3</v>
      </c>
      <c r="K104" s="17">
        <v>1</v>
      </c>
      <c r="L104" s="17">
        <v>0</v>
      </c>
      <c r="M104" s="17">
        <v>34</v>
      </c>
      <c r="N104" s="17">
        <v>24</v>
      </c>
      <c r="O104" s="17">
        <v>100</v>
      </c>
      <c r="P104" s="17">
        <v>29</v>
      </c>
      <c r="Q104" s="17">
        <v>10</v>
      </c>
      <c r="R104" s="17">
        <v>40</v>
      </c>
      <c r="S104" s="9">
        <f>M104+IFERROR(INDEX('Level Growth'!$C$4:$C$12,MATCH(E104,'Level Growth'!$A$4:$A$12,0)),'Level Growth'!$C$12)*(F104-1)</f>
        <v>34</v>
      </c>
      <c r="T104" s="9">
        <f>N104+IFERROR(INDEX('Level Growth'!$D$4:$D$12,MATCH(E104,'Level Growth'!$A$4:$A$12,0)),'Level Growth'!$D$12)*(F104-1)</f>
        <v>42</v>
      </c>
      <c r="U104" s="9">
        <f>I104+INT(F104/Constants!$C$52)</f>
        <v>11</v>
      </c>
      <c r="V104" s="9">
        <f>J104+IF(G104="horse",Constants!$C$45,0)</f>
        <v>3</v>
      </c>
      <c r="W104" s="14">
        <f>(O104+S104)*Constants!$C$3*IF(E104="Missionary",Constants!$C$4,1)</f>
        <v>26.8</v>
      </c>
      <c r="X104" s="15">
        <f>MIN(Constants!$C$8,MAX(Constants!$C$7,Constants!$C$5+R104*Constants!$C$6))</f>
        <v>0.95000000000000007</v>
      </c>
      <c r="Y104" s="14">
        <f t="shared" si="7"/>
        <v>25.46</v>
      </c>
      <c r="Z104" s="15">
        <f>MIN(Constants!$C$16,MAX(Constants!$C$15,Constants!$C$13-T104*Constants!$C$17-IF(E104="Shieldbearer",Constants!$C$19,0)))</f>
        <v>0.61599999999999999</v>
      </c>
      <c r="AA104" s="15">
        <f>MIN(Constants!$C$24,Q104*Constants!$C$23)</f>
        <v>0.04</v>
      </c>
      <c r="AB104" s="15">
        <f>MIN(Constants!$C$36,Constants!$C$34+P104*Constants!$C$35)</f>
        <v>0.16600000000000001</v>
      </c>
      <c r="AC104" s="14">
        <f>Constants!$C$46/U104</f>
        <v>9.0909090909090917</v>
      </c>
      <c r="AD104" s="15">
        <f>IF(LEFT(C104,11)="Legionnaire",Constants!$C$40*0.5*MAX(0,1-(P104+Q104)/Constants!$C$41),"-")</f>
        <v>0.222</v>
      </c>
      <c r="AE104" s="9">
        <f>IF(D104="Enemy",ROUNDUP(O104/Constants!$C$42,0),"-")</f>
        <v>10</v>
      </c>
    </row>
    <row r="105" spans="1:31" x14ac:dyDescent="0.25">
      <c r="A105" s="9" t="str">
        <f t="shared" si="6"/>
        <v>rome - Legionnaire Archer 1</v>
      </c>
      <c r="B105" s="17" t="s">
        <v>152</v>
      </c>
      <c r="C105" s="17" t="s">
        <v>127</v>
      </c>
      <c r="D105" s="17" t="s">
        <v>103</v>
      </c>
      <c r="E105" s="17" t="s">
        <v>128</v>
      </c>
      <c r="F105" s="17">
        <v>7</v>
      </c>
      <c r="G105" s="17"/>
      <c r="H105" s="17" t="s">
        <v>129</v>
      </c>
      <c r="I105" s="17">
        <v>10</v>
      </c>
      <c r="J105" s="17">
        <v>3</v>
      </c>
      <c r="K105" s="17">
        <v>1</v>
      </c>
      <c r="L105" s="17">
        <v>0</v>
      </c>
      <c r="M105" s="17">
        <v>36</v>
      </c>
      <c r="N105" s="17">
        <v>29</v>
      </c>
      <c r="O105" s="17">
        <v>100</v>
      </c>
      <c r="P105" s="17">
        <v>28</v>
      </c>
      <c r="Q105" s="17">
        <v>24</v>
      </c>
      <c r="R105" s="17">
        <v>19</v>
      </c>
      <c r="S105" s="9">
        <f>M105+IFERROR(INDEX('Level Growth'!$C$4:$C$12,MATCH(E105,'Level Growth'!$A$4:$A$12,0)),'Level Growth'!$C$12)*(F105-1)</f>
        <v>42</v>
      </c>
      <c r="T105" s="9">
        <f>N105+IFERROR(INDEX('Level Growth'!$D$4:$D$12,MATCH(E105,'Level Growth'!$A$4:$A$12,0)),'Level Growth'!$D$12)*(F105-1)</f>
        <v>35</v>
      </c>
      <c r="U105" s="9">
        <f>I105+INT(F105/Constants!$C$52)</f>
        <v>11</v>
      </c>
      <c r="V105" s="9">
        <f>J105+IF(G105="horse",Constants!$C$45,0)</f>
        <v>3</v>
      </c>
      <c r="W105" s="14">
        <f>(O105+S105)*Constants!$C$3*IF(E105="Missionary",Constants!$C$4,1)</f>
        <v>28.400000000000002</v>
      </c>
      <c r="X105" s="15">
        <f>MIN(Constants!$C$8,MAX(Constants!$C$7,Constants!$C$5+R105*Constants!$C$6))</f>
        <v>0.74</v>
      </c>
      <c r="Y105" s="14">
        <f t="shared" si="7"/>
        <v>21.016000000000002</v>
      </c>
      <c r="Z105" s="15">
        <f>MIN(Constants!$C$16,MAX(Constants!$C$15,Constants!$C$13-T105*Constants!$C$17-IF(E105="Shieldbearer",Constants!$C$19,0)))</f>
        <v>0.78</v>
      </c>
      <c r="AA105" s="15">
        <f>MIN(Constants!$C$24,Q105*Constants!$C$23)</f>
        <v>9.6000000000000002E-2</v>
      </c>
      <c r="AB105" s="15">
        <f>MIN(Constants!$C$36,Constants!$C$34+P105*Constants!$C$35)</f>
        <v>0.16200000000000001</v>
      </c>
      <c r="AC105" s="14">
        <f>Constants!$C$46/U105</f>
        <v>9.0909090909090917</v>
      </c>
      <c r="AD105" s="15">
        <f>IF(LEFT(C105,11)="Legionnaire",Constants!$C$40*0.5*MAX(0,1-(P105+Q105)/Constants!$C$41),"-")</f>
        <v>0.19599999999999998</v>
      </c>
      <c r="AE105" s="9">
        <f>IF(D105="Enemy",ROUNDUP(O105/Constants!$C$42,0),"-")</f>
        <v>10</v>
      </c>
    </row>
    <row r="106" spans="1:31" x14ac:dyDescent="0.25">
      <c r="A106" s="9" t="str">
        <f t="shared" si="6"/>
        <v>rome - Legionnaire Medic 1</v>
      </c>
      <c r="B106" s="17" t="s">
        <v>152</v>
      </c>
      <c r="C106" s="17" t="s">
        <v>130</v>
      </c>
      <c r="D106" s="17" t="s">
        <v>103</v>
      </c>
      <c r="E106" s="17" t="s">
        <v>131</v>
      </c>
      <c r="F106" s="17">
        <v>7</v>
      </c>
      <c r="G106" s="17"/>
      <c r="H106" s="17" t="s">
        <v>132</v>
      </c>
      <c r="I106" s="17">
        <v>11</v>
      </c>
      <c r="J106" s="17">
        <v>3</v>
      </c>
      <c r="K106" s="17">
        <v>1</v>
      </c>
      <c r="L106" s="17">
        <v>0</v>
      </c>
      <c r="M106" s="17">
        <v>40</v>
      </c>
      <c r="N106" s="17">
        <v>31</v>
      </c>
      <c r="O106" s="17">
        <v>100</v>
      </c>
      <c r="P106" s="17">
        <v>24</v>
      </c>
      <c r="Q106" s="17">
        <v>25</v>
      </c>
      <c r="R106" s="17">
        <v>14</v>
      </c>
      <c r="S106" s="9">
        <f>M106+IFERROR(INDEX('Level Growth'!$C$4:$C$12,MATCH(E106,'Level Growth'!$A$4:$A$12,0)),'Level Growth'!$C$12)*(F106-1)</f>
        <v>52</v>
      </c>
      <c r="T106" s="9">
        <f>N106+IFERROR(INDEX('Level Growth'!$D$4:$D$12,MATCH(E106,'Level Growth'!$A$4:$A$12,0)),'Level Growth'!$D$12)*(F106-1)</f>
        <v>37</v>
      </c>
      <c r="U106" s="9">
        <f>I106+INT(F106/Constants!$C$52)</f>
        <v>12</v>
      </c>
      <c r="V106" s="9">
        <f>J106+IF(G106="horse",Constants!$C$45,0)</f>
        <v>3</v>
      </c>
      <c r="W106" s="14">
        <f>(O106+S106)*Constants!$C$3*IF(E106="Missionary",Constants!$C$4,1)</f>
        <v>30.400000000000002</v>
      </c>
      <c r="X106" s="15">
        <f>MIN(Constants!$C$8,MAX(Constants!$C$7,Constants!$C$5+R106*Constants!$C$6))</f>
        <v>0.69000000000000006</v>
      </c>
      <c r="Y106" s="14">
        <f t="shared" si="7"/>
        <v>20.976000000000003</v>
      </c>
      <c r="Z106" s="15">
        <f>MIN(Constants!$C$16,MAX(Constants!$C$15,Constants!$C$13-T106*Constants!$C$17-IF(E106="Shieldbearer",Constants!$C$19,0)))</f>
        <v>0.77600000000000002</v>
      </c>
      <c r="AA106" s="15">
        <f>MIN(Constants!$C$24,Q106*Constants!$C$23)</f>
        <v>0.1</v>
      </c>
      <c r="AB106" s="15">
        <f>MIN(Constants!$C$36,Constants!$C$34+P106*Constants!$C$35)</f>
        <v>0.14600000000000002</v>
      </c>
      <c r="AC106" s="14">
        <f>Constants!$C$46/U106</f>
        <v>8.3333333333333339</v>
      </c>
      <c r="AD106" s="15">
        <f>IF(LEFT(C106,11)="Legionnaire",Constants!$C$40*0.5*MAX(0,1-(P106+Q106)/Constants!$C$41),"-")</f>
        <v>0.20199999999999999</v>
      </c>
      <c r="AE106" s="9">
        <f>IF(D106="Enemy",ROUNDUP(O106/Constants!$C$42,0),"-")</f>
        <v>10</v>
      </c>
    </row>
    <row r="107" spans="1:31" x14ac:dyDescent="0.25">
      <c r="A107" s="9" t="str">
        <f t="shared" si="6"/>
        <v>rome - Legionnaire Shieldbearer 2</v>
      </c>
      <c r="B107" s="17" t="s">
        <v>152</v>
      </c>
      <c r="C107" s="17" t="s">
        <v>133</v>
      </c>
      <c r="D107" s="17" t="s">
        <v>103</v>
      </c>
      <c r="E107" s="17" t="s">
        <v>125</v>
      </c>
      <c r="F107" s="17">
        <v>7</v>
      </c>
      <c r="G107" s="17"/>
      <c r="H107" s="17" t="s">
        <v>126</v>
      </c>
      <c r="I107" s="17">
        <v>10</v>
      </c>
      <c r="J107" s="17">
        <v>3</v>
      </c>
      <c r="K107" s="17">
        <v>1</v>
      </c>
      <c r="L107" s="17">
        <v>0</v>
      </c>
      <c r="M107" s="17">
        <v>16</v>
      </c>
      <c r="N107" s="17">
        <v>25</v>
      </c>
      <c r="O107" s="17">
        <v>100</v>
      </c>
      <c r="P107" s="17">
        <v>33</v>
      </c>
      <c r="Q107" s="17">
        <v>8</v>
      </c>
      <c r="R107" s="17">
        <v>25</v>
      </c>
      <c r="S107" s="9">
        <f>M107+IFERROR(INDEX('Level Growth'!$C$4:$C$12,MATCH(E107,'Level Growth'!$A$4:$A$12,0)),'Level Growth'!$C$12)*(F107-1)</f>
        <v>16</v>
      </c>
      <c r="T107" s="9">
        <f>N107+IFERROR(INDEX('Level Growth'!$D$4:$D$12,MATCH(E107,'Level Growth'!$A$4:$A$12,0)),'Level Growth'!$D$12)*(F107-1)</f>
        <v>43</v>
      </c>
      <c r="U107" s="9">
        <f>I107+INT(F107/Constants!$C$52)</f>
        <v>11</v>
      </c>
      <c r="V107" s="9">
        <f>J107+IF(G107="horse",Constants!$C$45,0)</f>
        <v>3</v>
      </c>
      <c r="W107" s="14">
        <f>(O107+S107)*Constants!$C$3*IF(E107="Missionary",Constants!$C$4,1)</f>
        <v>23.200000000000003</v>
      </c>
      <c r="X107" s="15">
        <f>MIN(Constants!$C$8,MAX(Constants!$C$7,Constants!$C$5+R107*Constants!$C$6))</f>
        <v>0.8</v>
      </c>
      <c r="Y107" s="14">
        <f t="shared" si="7"/>
        <v>18.560000000000002</v>
      </c>
      <c r="Z107" s="15">
        <f>MIN(Constants!$C$16,MAX(Constants!$C$15,Constants!$C$13-T107*Constants!$C$17-IF(E107="Shieldbearer",Constants!$C$19,0)))</f>
        <v>0.61399999999999999</v>
      </c>
      <c r="AA107" s="15">
        <f>MIN(Constants!$C$24,Q107*Constants!$C$23)</f>
        <v>3.2000000000000001E-2</v>
      </c>
      <c r="AB107" s="15">
        <f>MIN(Constants!$C$36,Constants!$C$34+P107*Constants!$C$35)</f>
        <v>0.182</v>
      </c>
      <c r="AC107" s="14">
        <f>Constants!$C$46/U107</f>
        <v>9.0909090909090917</v>
      </c>
      <c r="AD107" s="15">
        <f>IF(LEFT(C107,11)="Legionnaire",Constants!$C$40*0.5*MAX(0,1-(P107+Q107)/Constants!$C$41),"-")</f>
        <v>0.218</v>
      </c>
      <c r="AE107" s="9">
        <f>IF(D107="Enemy",ROUNDUP(O107/Constants!$C$42,0),"-")</f>
        <v>10</v>
      </c>
    </row>
    <row r="108" spans="1:31" x14ac:dyDescent="0.25">
      <c r="A108" s="9" t="str">
        <f t="shared" si="6"/>
        <v>rome - Legionnaire Medic 2</v>
      </c>
      <c r="B108" s="17" t="s">
        <v>152</v>
      </c>
      <c r="C108" s="17" t="s">
        <v>135</v>
      </c>
      <c r="D108" s="17" t="s">
        <v>103</v>
      </c>
      <c r="E108" s="17" t="s">
        <v>131</v>
      </c>
      <c r="F108" s="17">
        <v>7</v>
      </c>
      <c r="G108" s="17"/>
      <c r="H108" s="17" t="s">
        <v>132</v>
      </c>
      <c r="I108" s="17">
        <v>11</v>
      </c>
      <c r="J108" s="17">
        <v>3</v>
      </c>
      <c r="K108" s="17">
        <v>1</v>
      </c>
      <c r="L108" s="17">
        <v>0</v>
      </c>
      <c r="M108" s="17">
        <v>32</v>
      </c>
      <c r="N108" s="17">
        <v>39</v>
      </c>
      <c r="O108" s="17">
        <v>100</v>
      </c>
      <c r="P108" s="17">
        <v>20</v>
      </c>
      <c r="Q108" s="17">
        <v>32</v>
      </c>
      <c r="R108" s="17">
        <v>22</v>
      </c>
      <c r="S108" s="9">
        <f>M108+IFERROR(INDEX('Level Growth'!$C$4:$C$12,MATCH(E108,'Level Growth'!$A$4:$A$12,0)),'Level Growth'!$C$12)*(F108-1)</f>
        <v>44</v>
      </c>
      <c r="T108" s="9">
        <f>N108+IFERROR(INDEX('Level Growth'!$D$4:$D$12,MATCH(E108,'Level Growth'!$A$4:$A$12,0)),'Level Growth'!$D$12)*(F108-1)</f>
        <v>45</v>
      </c>
      <c r="U108" s="9">
        <f>I108+INT(F108/Constants!$C$52)</f>
        <v>12</v>
      </c>
      <c r="V108" s="9">
        <f>J108+IF(G108="horse",Constants!$C$45,0)</f>
        <v>3</v>
      </c>
      <c r="W108" s="14">
        <f>(O108+S108)*Constants!$C$3*IF(E108="Missionary",Constants!$C$4,1)</f>
        <v>28.8</v>
      </c>
      <c r="X108" s="15">
        <f>MIN(Constants!$C$8,MAX(Constants!$C$7,Constants!$C$5+R108*Constants!$C$6))</f>
        <v>0.77</v>
      </c>
      <c r="Y108" s="14">
        <f t="shared" si="7"/>
        <v>22.176000000000002</v>
      </c>
      <c r="Z108" s="15">
        <f>MIN(Constants!$C$16,MAX(Constants!$C$15,Constants!$C$13-T108*Constants!$C$17-IF(E108="Shieldbearer",Constants!$C$19,0)))</f>
        <v>0.76</v>
      </c>
      <c r="AA108" s="15">
        <f>MIN(Constants!$C$24,Q108*Constants!$C$23)</f>
        <v>0.128</v>
      </c>
      <c r="AB108" s="15">
        <f>MIN(Constants!$C$36,Constants!$C$34+P108*Constants!$C$35)</f>
        <v>0.13</v>
      </c>
      <c r="AC108" s="14">
        <f>Constants!$C$46/U108</f>
        <v>8.3333333333333339</v>
      </c>
      <c r="AD108" s="15">
        <f>IF(LEFT(C108,11)="Legionnaire",Constants!$C$40*0.5*MAX(0,1-(P108+Q108)/Constants!$C$41),"-")</f>
        <v>0.19599999999999998</v>
      </c>
      <c r="AE108" s="9">
        <f>IF(D108="Enemy",ROUNDUP(O108/Constants!$C$42,0),"-")</f>
        <v>10</v>
      </c>
    </row>
  </sheetData>
  <autoFilter ref="A1:AE108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13" customWidth="1"/>
    <col min="3" max="3" width="10" customWidth="1"/>
    <col min="4" max="4" width="17" customWidth="1"/>
    <col min="5" max="5" width="34" customWidth="1"/>
    <col min="6" max="7" width="8" customWidth="1"/>
    <col min="8" max="8" width="9" customWidth="1"/>
    <col min="9" max="9" width="11" customWidth="1"/>
    <col min="10" max="11" width="8" customWidth="1"/>
    <col min="12" max="12" width="7" customWidth="1"/>
    <col min="13" max="13" width="8" customWidth="1"/>
    <col min="14" max="14" width="9" customWidth="1"/>
    <col min="15" max="15" width="7" customWidth="1"/>
    <col min="16" max="16" width="11" customWidth="1"/>
    <col min="17" max="17" width="10" customWidth="1"/>
    <col min="18" max="18" width="12" customWidth="1"/>
    <col min="19" max="19" width="13" customWidth="1"/>
    <col min="20" max="20" width="10" customWidth="1"/>
    <col min="21" max="21" width="11" customWidth="1"/>
    <col min="22" max="22" width="9" customWidth="1"/>
  </cols>
  <sheetData>
    <row r="1" spans="1:22" ht="62.1" customHeight="1" x14ac:dyDescent="0.25">
      <c r="A1" s="16" t="s">
        <v>158</v>
      </c>
      <c r="B1" s="16" t="s">
        <v>61</v>
      </c>
      <c r="C1" s="16" t="s">
        <v>159</v>
      </c>
      <c r="D1" s="16" t="s">
        <v>160</v>
      </c>
      <c r="E1" s="16" t="s">
        <v>64</v>
      </c>
      <c r="F1" s="16" t="s">
        <v>65</v>
      </c>
      <c r="G1" s="16" t="s">
        <v>66</v>
      </c>
      <c r="H1" s="16" t="s">
        <v>67</v>
      </c>
      <c r="I1" s="16" t="s">
        <v>68</v>
      </c>
      <c r="J1" s="16" t="s">
        <v>161</v>
      </c>
      <c r="K1" s="16" t="s">
        <v>162</v>
      </c>
      <c r="L1" s="16" t="s">
        <v>71</v>
      </c>
      <c r="M1" s="16" t="s">
        <v>72</v>
      </c>
      <c r="N1" s="16" t="s">
        <v>73</v>
      </c>
      <c r="O1" s="16" t="s">
        <v>74</v>
      </c>
      <c r="P1" s="16" t="s">
        <v>31</v>
      </c>
      <c r="Q1" s="16" t="s">
        <v>80</v>
      </c>
      <c r="R1" s="16" t="s">
        <v>81</v>
      </c>
      <c r="S1" s="16" t="s">
        <v>163</v>
      </c>
      <c r="T1" s="16" t="s">
        <v>83</v>
      </c>
      <c r="U1" s="16" t="s">
        <v>84</v>
      </c>
      <c r="V1" s="16" t="s">
        <v>85</v>
      </c>
    </row>
    <row r="2" spans="1:22" x14ac:dyDescent="0.25">
      <c r="A2" s="17" t="s">
        <v>164</v>
      </c>
      <c r="B2" s="17" t="s">
        <v>165</v>
      </c>
      <c r="C2" s="17" t="s">
        <v>166</v>
      </c>
      <c r="D2" s="17" t="s">
        <v>167</v>
      </c>
      <c r="E2" s="17" t="s">
        <v>168</v>
      </c>
      <c r="F2" s="17">
        <v>12</v>
      </c>
      <c r="G2" s="17">
        <v>3</v>
      </c>
      <c r="H2" s="17">
        <v>1</v>
      </c>
      <c r="I2" s="17">
        <v>40</v>
      </c>
      <c r="J2" s="17">
        <v>26</v>
      </c>
      <c r="K2" s="17">
        <v>18</v>
      </c>
      <c r="L2" s="17">
        <v>130</v>
      </c>
      <c r="M2" s="17">
        <v>26</v>
      </c>
      <c r="N2" s="17">
        <v>30</v>
      </c>
      <c r="O2" s="17">
        <v>18</v>
      </c>
      <c r="P2" s="14">
        <f>(L2+J2)*Constants!$C$3</f>
        <v>31.200000000000003</v>
      </c>
      <c r="Q2" s="15">
        <f>MIN(Constants!$C$8,MAX(Constants!$C$7,Constants!$C$5+O2*Constants!$C$6))</f>
        <v>0.73</v>
      </c>
      <c r="R2" s="14">
        <f t="shared" ref="R2:R17" si="0">P2*Q2</f>
        <v>22.776</v>
      </c>
      <c r="S2" s="15">
        <f>MIN(Constants!$C$16,MAX(Constants!$C$15,Constants!$C$13-K2*Constants!$C$17))</f>
        <v>0.81399999999999995</v>
      </c>
      <c r="T2" s="15">
        <f>MIN(Constants!$C$24,N2*Constants!$C$23)</f>
        <v>0.12</v>
      </c>
      <c r="U2" s="15">
        <f>MIN(Constants!$C$36,Constants!$C$34+M2*Constants!$C$35)</f>
        <v>0.15400000000000003</v>
      </c>
      <c r="V2" s="14">
        <f>Constants!$C$46/F2</f>
        <v>8.3333333333333339</v>
      </c>
    </row>
    <row r="3" spans="1:22" x14ac:dyDescent="0.25">
      <c r="A3" s="17" t="s">
        <v>169</v>
      </c>
      <c r="B3" s="17" t="s">
        <v>170</v>
      </c>
      <c r="C3" s="17" t="s">
        <v>166</v>
      </c>
      <c r="D3" s="17" t="s">
        <v>171</v>
      </c>
      <c r="E3" s="17" t="s">
        <v>172</v>
      </c>
      <c r="F3" s="17">
        <v>11</v>
      </c>
      <c r="G3" s="17">
        <v>3</v>
      </c>
      <c r="H3" s="17">
        <v>1</v>
      </c>
      <c r="I3" s="17">
        <v>40</v>
      </c>
      <c r="J3" s="17">
        <v>30</v>
      </c>
      <c r="K3" s="17">
        <v>16</v>
      </c>
      <c r="L3" s="17">
        <v>125</v>
      </c>
      <c r="M3" s="17">
        <v>20</v>
      </c>
      <c r="N3" s="17">
        <v>34</v>
      </c>
      <c r="O3" s="17">
        <v>20</v>
      </c>
      <c r="P3" s="14">
        <f>(L3+J3)*Constants!$C$3</f>
        <v>31</v>
      </c>
      <c r="Q3" s="15">
        <f>MIN(Constants!$C$8,MAX(Constants!$C$7,Constants!$C$5+O3*Constants!$C$6))</f>
        <v>0.75</v>
      </c>
      <c r="R3" s="14">
        <f t="shared" si="0"/>
        <v>23.25</v>
      </c>
      <c r="S3" s="15">
        <f>MIN(Constants!$C$16,MAX(Constants!$C$15,Constants!$C$13-K3*Constants!$C$17))</f>
        <v>0.81799999999999995</v>
      </c>
      <c r="T3" s="15">
        <f>MIN(Constants!$C$24,N3*Constants!$C$23)</f>
        <v>0.13600000000000001</v>
      </c>
      <c r="U3" s="15">
        <f>MIN(Constants!$C$36,Constants!$C$34+M3*Constants!$C$35)</f>
        <v>0.13</v>
      </c>
      <c r="V3" s="14">
        <f>Constants!$C$46/F3</f>
        <v>9.0909090909090917</v>
      </c>
    </row>
    <row r="4" spans="1:22" x14ac:dyDescent="0.25">
      <c r="A4" s="17" t="s">
        <v>173</v>
      </c>
      <c r="B4" s="17" t="s">
        <v>174</v>
      </c>
      <c r="C4" s="17" t="s">
        <v>166</v>
      </c>
      <c r="D4" s="17" t="s">
        <v>175</v>
      </c>
      <c r="E4" s="17" t="s">
        <v>176</v>
      </c>
      <c r="F4" s="17">
        <v>13</v>
      </c>
      <c r="G4" s="17">
        <v>3</v>
      </c>
      <c r="H4" s="17">
        <v>1</v>
      </c>
      <c r="I4" s="17">
        <v>40</v>
      </c>
      <c r="J4" s="17">
        <v>24</v>
      </c>
      <c r="K4" s="17">
        <v>20</v>
      </c>
      <c r="L4" s="17">
        <v>130</v>
      </c>
      <c r="M4" s="17">
        <v>34</v>
      </c>
      <c r="N4" s="17">
        <v>22</v>
      </c>
      <c r="O4" s="17">
        <v>16</v>
      </c>
      <c r="P4" s="14">
        <f>(L4+J4)*Constants!$C$3</f>
        <v>30.8</v>
      </c>
      <c r="Q4" s="15">
        <f>MIN(Constants!$C$8,MAX(Constants!$C$7,Constants!$C$5+O4*Constants!$C$6))</f>
        <v>0.71000000000000008</v>
      </c>
      <c r="R4" s="14">
        <f t="shared" si="0"/>
        <v>21.868000000000002</v>
      </c>
      <c r="S4" s="15">
        <f>MIN(Constants!$C$16,MAX(Constants!$C$15,Constants!$C$13-K4*Constants!$C$17))</f>
        <v>0.80999999999999994</v>
      </c>
      <c r="T4" s="15">
        <f>MIN(Constants!$C$24,N4*Constants!$C$23)</f>
        <v>8.7999999999999995E-2</v>
      </c>
      <c r="U4" s="15">
        <f>MIN(Constants!$C$36,Constants!$C$34+M4*Constants!$C$35)</f>
        <v>0.186</v>
      </c>
      <c r="V4" s="14">
        <f>Constants!$C$46/F4</f>
        <v>7.6923076923076925</v>
      </c>
    </row>
    <row r="5" spans="1:22" x14ac:dyDescent="0.25">
      <c r="A5" s="17" t="s">
        <v>177</v>
      </c>
      <c r="B5" s="17" t="s">
        <v>178</v>
      </c>
      <c r="C5" s="17" t="s">
        <v>166</v>
      </c>
      <c r="D5" s="17" t="s">
        <v>179</v>
      </c>
      <c r="E5" s="17" t="s">
        <v>180</v>
      </c>
      <c r="F5" s="17">
        <v>13</v>
      </c>
      <c r="G5" s="17">
        <v>3</v>
      </c>
      <c r="H5" s="17">
        <v>1</v>
      </c>
      <c r="I5" s="17">
        <v>40</v>
      </c>
      <c r="J5" s="17">
        <v>28</v>
      </c>
      <c r="K5" s="17">
        <v>14</v>
      </c>
      <c r="L5" s="17">
        <v>120</v>
      </c>
      <c r="M5" s="17">
        <v>30</v>
      </c>
      <c r="N5" s="17">
        <v>18</v>
      </c>
      <c r="O5" s="17">
        <v>20</v>
      </c>
      <c r="P5" s="14">
        <f>(L5+J5)*Constants!$C$3</f>
        <v>29.6</v>
      </c>
      <c r="Q5" s="15">
        <f>MIN(Constants!$C$8,MAX(Constants!$C$7,Constants!$C$5+O5*Constants!$C$6))</f>
        <v>0.75</v>
      </c>
      <c r="R5" s="14">
        <f t="shared" si="0"/>
        <v>22.200000000000003</v>
      </c>
      <c r="S5" s="15">
        <f>MIN(Constants!$C$16,MAX(Constants!$C$15,Constants!$C$13-K5*Constants!$C$17))</f>
        <v>0.82199999999999995</v>
      </c>
      <c r="T5" s="15">
        <f>MIN(Constants!$C$24,N5*Constants!$C$23)</f>
        <v>7.2000000000000008E-2</v>
      </c>
      <c r="U5" s="15">
        <f>MIN(Constants!$C$36,Constants!$C$34+M5*Constants!$C$35)</f>
        <v>0.16999999999999998</v>
      </c>
      <c r="V5" s="14">
        <f>Constants!$C$46/F5</f>
        <v>7.6923076923076925</v>
      </c>
    </row>
    <row r="6" spans="1:22" x14ac:dyDescent="0.25">
      <c r="A6" s="17" t="s">
        <v>181</v>
      </c>
      <c r="B6" s="17" t="s">
        <v>182</v>
      </c>
      <c r="C6" s="17" t="s">
        <v>183</v>
      </c>
      <c r="D6" s="17" t="s">
        <v>184</v>
      </c>
      <c r="E6" s="17" t="s">
        <v>185</v>
      </c>
      <c r="F6" s="17">
        <v>11</v>
      </c>
      <c r="G6" s="17">
        <v>3</v>
      </c>
      <c r="H6" s="17">
        <v>1</v>
      </c>
      <c r="I6" s="17">
        <v>40</v>
      </c>
      <c r="J6" s="17">
        <v>26</v>
      </c>
      <c r="K6" s="17">
        <v>18</v>
      </c>
      <c r="L6" s="17">
        <v>140</v>
      </c>
      <c r="M6" s="17">
        <v>22</v>
      </c>
      <c r="N6" s="17">
        <v>32</v>
      </c>
      <c r="O6" s="17">
        <v>30</v>
      </c>
      <c r="P6" s="14">
        <f>(L6+J6)*Constants!$C$3</f>
        <v>33.200000000000003</v>
      </c>
      <c r="Q6" s="15">
        <f>MIN(Constants!$C$8,MAX(Constants!$C$7,Constants!$C$5+O6*Constants!$C$6))</f>
        <v>0.85000000000000009</v>
      </c>
      <c r="R6" s="14">
        <f t="shared" si="0"/>
        <v>28.220000000000006</v>
      </c>
      <c r="S6" s="15">
        <f>MIN(Constants!$C$16,MAX(Constants!$C$15,Constants!$C$13-K6*Constants!$C$17))</f>
        <v>0.81399999999999995</v>
      </c>
      <c r="T6" s="15">
        <f>MIN(Constants!$C$24,N6*Constants!$C$23)</f>
        <v>0.128</v>
      </c>
      <c r="U6" s="15">
        <f>MIN(Constants!$C$36,Constants!$C$34+M6*Constants!$C$35)</f>
        <v>0.13800000000000001</v>
      </c>
      <c r="V6" s="14">
        <f>Constants!$C$46/F6</f>
        <v>9.0909090909090917</v>
      </c>
    </row>
    <row r="7" spans="1:22" x14ac:dyDescent="0.25">
      <c r="A7" s="17" t="s">
        <v>186</v>
      </c>
      <c r="B7" s="17" t="s">
        <v>187</v>
      </c>
      <c r="C7" s="17" t="s">
        <v>183</v>
      </c>
      <c r="D7" s="17" t="s">
        <v>188</v>
      </c>
      <c r="E7" s="17" t="s">
        <v>189</v>
      </c>
      <c r="F7" s="17">
        <v>11</v>
      </c>
      <c r="G7" s="17">
        <v>3</v>
      </c>
      <c r="H7" s="17">
        <v>1</v>
      </c>
      <c r="I7" s="17">
        <v>40</v>
      </c>
      <c r="J7" s="17">
        <v>24</v>
      </c>
      <c r="K7" s="17">
        <v>18</v>
      </c>
      <c r="L7" s="17">
        <v>135</v>
      </c>
      <c r="M7" s="17">
        <v>20</v>
      </c>
      <c r="N7" s="17">
        <v>30</v>
      </c>
      <c r="O7" s="17">
        <v>34</v>
      </c>
      <c r="P7" s="14">
        <f>(L7+J7)*Constants!$C$3</f>
        <v>31.8</v>
      </c>
      <c r="Q7" s="15">
        <f>MIN(Constants!$C$8,MAX(Constants!$C$7,Constants!$C$5+O7*Constants!$C$6))</f>
        <v>0.89000000000000012</v>
      </c>
      <c r="R7" s="14">
        <f t="shared" si="0"/>
        <v>28.302000000000003</v>
      </c>
      <c r="S7" s="15">
        <f>MIN(Constants!$C$16,MAX(Constants!$C$15,Constants!$C$13-K7*Constants!$C$17))</f>
        <v>0.81399999999999995</v>
      </c>
      <c r="T7" s="15">
        <f>MIN(Constants!$C$24,N7*Constants!$C$23)</f>
        <v>0.12</v>
      </c>
      <c r="U7" s="15">
        <f>MIN(Constants!$C$36,Constants!$C$34+M7*Constants!$C$35)</f>
        <v>0.13</v>
      </c>
      <c r="V7" s="14">
        <f>Constants!$C$46/F7</f>
        <v>9.0909090909090917</v>
      </c>
    </row>
    <row r="8" spans="1:22" x14ac:dyDescent="0.25">
      <c r="A8" s="17" t="s">
        <v>190</v>
      </c>
      <c r="B8" s="17" t="s">
        <v>191</v>
      </c>
      <c r="C8" s="17" t="s">
        <v>183</v>
      </c>
      <c r="D8" s="17" t="s">
        <v>192</v>
      </c>
      <c r="E8" s="17" t="s">
        <v>193</v>
      </c>
      <c r="F8" s="17">
        <v>12</v>
      </c>
      <c r="G8" s="17">
        <v>3</v>
      </c>
      <c r="H8" s="17">
        <v>1</v>
      </c>
      <c r="I8" s="17">
        <v>40</v>
      </c>
      <c r="J8" s="17">
        <v>24</v>
      </c>
      <c r="K8" s="17">
        <v>18</v>
      </c>
      <c r="L8" s="17">
        <v>140</v>
      </c>
      <c r="M8" s="17">
        <v>30</v>
      </c>
      <c r="N8" s="17">
        <v>24</v>
      </c>
      <c r="O8" s="17">
        <v>30</v>
      </c>
      <c r="P8" s="14">
        <f>(L8+J8)*Constants!$C$3</f>
        <v>32.800000000000004</v>
      </c>
      <c r="Q8" s="15">
        <f>MIN(Constants!$C$8,MAX(Constants!$C$7,Constants!$C$5+O8*Constants!$C$6))</f>
        <v>0.85000000000000009</v>
      </c>
      <c r="R8" s="14">
        <f t="shared" si="0"/>
        <v>27.880000000000006</v>
      </c>
      <c r="S8" s="15">
        <f>MIN(Constants!$C$16,MAX(Constants!$C$15,Constants!$C$13-K8*Constants!$C$17))</f>
        <v>0.81399999999999995</v>
      </c>
      <c r="T8" s="15">
        <f>MIN(Constants!$C$24,N8*Constants!$C$23)</f>
        <v>9.6000000000000002E-2</v>
      </c>
      <c r="U8" s="15">
        <f>MIN(Constants!$C$36,Constants!$C$34+M8*Constants!$C$35)</f>
        <v>0.16999999999999998</v>
      </c>
      <c r="V8" s="14">
        <f>Constants!$C$46/F8</f>
        <v>8.3333333333333339</v>
      </c>
    </row>
    <row r="9" spans="1:22" x14ac:dyDescent="0.25">
      <c r="A9" s="17" t="s">
        <v>194</v>
      </c>
      <c r="B9" s="17" t="s">
        <v>195</v>
      </c>
      <c r="C9" s="17" t="s">
        <v>183</v>
      </c>
      <c r="D9" s="17" t="s">
        <v>196</v>
      </c>
      <c r="E9" s="17" t="s">
        <v>197</v>
      </c>
      <c r="F9" s="17">
        <v>13</v>
      </c>
      <c r="G9" s="17">
        <v>3</v>
      </c>
      <c r="H9" s="17">
        <v>1</v>
      </c>
      <c r="I9" s="17">
        <v>40</v>
      </c>
      <c r="J9" s="17">
        <v>26</v>
      </c>
      <c r="K9" s="17">
        <v>14</v>
      </c>
      <c r="L9" s="17">
        <v>130</v>
      </c>
      <c r="M9" s="17">
        <v>28</v>
      </c>
      <c r="N9" s="17">
        <v>18</v>
      </c>
      <c r="O9" s="17">
        <v>32</v>
      </c>
      <c r="P9" s="14">
        <f>(L9+J9)*Constants!$C$3</f>
        <v>31.200000000000003</v>
      </c>
      <c r="Q9" s="15">
        <f>MIN(Constants!$C$8,MAX(Constants!$C$7,Constants!$C$5+O9*Constants!$C$6))</f>
        <v>0.87000000000000011</v>
      </c>
      <c r="R9" s="14">
        <f t="shared" si="0"/>
        <v>27.144000000000005</v>
      </c>
      <c r="S9" s="15">
        <f>MIN(Constants!$C$16,MAX(Constants!$C$15,Constants!$C$13-K9*Constants!$C$17))</f>
        <v>0.82199999999999995</v>
      </c>
      <c r="T9" s="15">
        <f>MIN(Constants!$C$24,N9*Constants!$C$23)</f>
        <v>7.2000000000000008E-2</v>
      </c>
      <c r="U9" s="15">
        <f>MIN(Constants!$C$36,Constants!$C$34+M9*Constants!$C$35)</f>
        <v>0.16200000000000001</v>
      </c>
      <c r="V9" s="14">
        <f>Constants!$C$46/F9</f>
        <v>7.6923076923076925</v>
      </c>
    </row>
    <row r="10" spans="1:22" x14ac:dyDescent="0.25">
      <c r="A10" s="17" t="s">
        <v>198</v>
      </c>
      <c r="B10" s="17" t="s">
        <v>199</v>
      </c>
      <c r="C10" s="17" t="s">
        <v>200</v>
      </c>
      <c r="D10" s="17" t="s">
        <v>201</v>
      </c>
      <c r="E10" s="17" t="s">
        <v>202</v>
      </c>
      <c r="F10" s="17">
        <v>11</v>
      </c>
      <c r="G10" s="17">
        <v>3</v>
      </c>
      <c r="H10" s="17">
        <v>1</v>
      </c>
      <c r="I10" s="17">
        <v>40</v>
      </c>
      <c r="J10" s="17">
        <v>20</v>
      </c>
      <c r="K10" s="17">
        <v>24</v>
      </c>
      <c r="L10" s="17">
        <v>130</v>
      </c>
      <c r="M10" s="17">
        <v>24</v>
      </c>
      <c r="N10" s="17">
        <v>30</v>
      </c>
      <c r="O10" s="17">
        <v>18</v>
      </c>
      <c r="P10" s="14">
        <f>(L10+J10)*Constants!$C$3</f>
        <v>30</v>
      </c>
      <c r="Q10" s="15">
        <f>MIN(Constants!$C$8,MAX(Constants!$C$7,Constants!$C$5+O10*Constants!$C$6))</f>
        <v>0.73</v>
      </c>
      <c r="R10" s="14">
        <f t="shared" si="0"/>
        <v>21.9</v>
      </c>
      <c r="S10" s="15">
        <f>MIN(Constants!$C$16,MAX(Constants!$C$15,Constants!$C$13-K10*Constants!$C$17))</f>
        <v>0.80199999999999994</v>
      </c>
      <c r="T10" s="15">
        <f>MIN(Constants!$C$24,N10*Constants!$C$23)</f>
        <v>0.12</v>
      </c>
      <c r="U10" s="15">
        <f>MIN(Constants!$C$36,Constants!$C$34+M10*Constants!$C$35)</f>
        <v>0.14600000000000002</v>
      </c>
      <c r="V10" s="14">
        <f>Constants!$C$46/F10</f>
        <v>9.0909090909090917</v>
      </c>
    </row>
    <row r="11" spans="1:22" x14ac:dyDescent="0.25">
      <c r="A11" s="17" t="s">
        <v>203</v>
      </c>
      <c r="B11" s="17" t="s">
        <v>204</v>
      </c>
      <c r="C11" s="17" t="s">
        <v>200</v>
      </c>
      <c r="D11" s="17" t="s">
        <v>205</v>
      </c>
      <c r="E11" s="17" t="s">
        <v>206</v>
      </c>
      <c r="F11" s="17">
        <v>11</v>
      </c>
      <c r="G11" s="17">
        <v>3</v>
      </c>
      <c r="H11" s="17">
        <v>1</v>
      </c>
      <c r="I11" s="17">
        <v>40</v>
      </c>
      <c r="J11" s="17">
        <v>20</v>
      </c>
      <c r="K11" s="17">
        <v>26</v>
      </c>
      <c r="L11" s="17">
        <v>140</v>
      </c>
      <c r="M11" s="17">
        <v>24</v>
      </c>
      <c r="N11" s="17">
        <v>30</v>
      </c>
      <c r="O11" s="17">
        <v>26</v>
      </c>
      <c r="P11" s="14">
        <f>(L11+J11)*Constants!$C$3</f>
        <v>32</v>
      </c>
      <c r="Q11" s="15">
        <f>MIN(Constants!$C$8,MAX(Constants!$C$7,Constants!$C$5+O11*Constants!$C$6))</f>
        <v>0.81</v>
      </c>
      <c r="R11" s="14">
        <f t="shared" si="0"/>
        <v>25.92</v>
      </c>
      <c r="S11" s="15">
        <f>MIN(Constants!$C$16,MAX(Constants!$C$15,Constants!$C$13-K11*Constants!$C$17))</f>
        <v>0.79799999999999993</v>
      </c>
      <c r="T11" s="15">
        <f>MIN(Constants!$C$24,N11*Constants!$C$23)</f>
        <v>0.12</v>
      </c>
      <c r="U11" s="15">
        <f>MIN(Constants!$C$36,Constants!$C$34+M11*Constants!$C$35)</f>
        <v>0.14600000000000002</v>
      </c>
      <c r="V11" s="14">
        <f>Constants!$C$46/F11</f>
        <v>9.0909090909090917</v>
      </c>
    </row>
    <row r="12" spans="1:22" x14ac:dyDescent="0.25">
      <c r="A12" s="17" t="s">
        <v>207</v>
      </c>
      <c r="B12" s="17" t="s">
        <v>208</v>
      </c>
      <c r="C12" s="17" t="s">
        <v>200</v>
      </c>
      <c r="D12" s="17" t="s">
        <v>209</v>
      </c>
      <c r="E12" s="17" t="s">
        <v>210</v>
      </c>
      <c r="F12" s="17">
        <v>12</v>
      </c>
      <c r="G12" s="17">
        <v>3</v>
      </c>
      <c r="H12" s="17">
        <v>1</v>
      </c>
      <c r="I12" s="17">
        <v>40</v>
      </c>
      <c r="J12" s="17">
        <v>22</v>
      </c>
      <c r="K12" s="17">
        <v>22</v>
      </c>
      <c r="L12" s="17">
        <v>130</v>
      </c>
      <c r="M12" s="17">
        <v>32</v>
      </c>
      <c r="N12" s="17">
        <v>22</v>
      </c>
      <c r="O12" s="17">
        <v>14</v>
      </c>
      <c r="P12" s="14">
        <f>(L12+J12)*Constants!$C$3</f>
        <v>30.400000000000002</v>
      </c>
      <c r="Q12" s="15">
        <f>MIN(Constants!$C$8,MAX(Constants!$C$7,Constants!$C$5+O12*Constants!$C$6))</f>
        <v>0.69000000000000006</v>
      </c>
      <c r="R12" s="14">
        <f t="shared" si="0"/>
        <v>20.976000000000003</v>
      </c>
      <c r="S12" s="15">
        <f>MIN(Constants!$C$16,MAX(Constants!$C$15,Constants!$C$13-K12*Constants!$C$17))</f>
        <v>0.80599999999999994</v>
      </c>
      <c r="T12" s="15">
        <f>MIN(Constants!$C$24,N12*Constants!$C$23)</f>
        <v>8.7999999999999995E-2</v>
      </c>
      <c r="U12" s="15">
        <f>MIN(Constants!$C$36,Constants!$C$34+M12*Constants!$C$35)</f>
        <v>0.17799999999999999</v>
      </c>
      <c r="V12" s="14">
        <f>Constants!$C$46/F12</f>
        <v>8.3333333333333339</v>
      </c>
    </row>
    <row r="13" spans="1:22" x14ac:dyDescent="0.25">
      <c r="A13" s="17" t="s">
        <v>211</v>
      </c>
      <c r="B13" s="17" t="s">
        <v>212</v>
      </c>
      <c r="C13" s="17" t="s">
        <v>200</v>
      </c>
      <c r="D13" s="17" t="s">
        <v>213</v>
      </c>
      <c r="E13" s="17" t="s">
        <v>214</v>
      </c>
      <c r="F13" s="17">
        <v>11</v>
      </c>
      <c r="G13" s="17">
        <v>3</v>
      </c>
      <c r="H13" s="17">
        <v>1</v>
      </c>
      <c r="I13" s="17">
        <v>40</v>
      </c>
      <c r="J13" s="17">
        <v>22</v>
      </c>
      <c r="K13" s="17">
        <v>20</v>
      </c>
      <c r="L13" s="17">
        <v>135</v>
      </c>
      <c r="M13" s="17">
        <v>26</v>
      </c>
      <c r="N13" s="17">
        <v>24</v>
      </c>
      <c r="O13" s="17">
        <v>32</v>
      </c>
      <c r="P13" s="14">
        <f>(L13+J13)*Constants!$C$3</f>
        <v>31.400000000000002</v>
      </c>
      <c r="Q13" s="15">
        <f>MIN(Constants!$C$8,MAX(Constants!$C$7,Constants!$C$5+O13*Constants!$C$6))</f>
        <v>0.87000000000000011</v>
      </c>
      <c r="R13" s="14">
        <f t="shared" si="0"/>
        <v>27.318000000000005</v>
      </c>
      <c r="S13" s="15">
        <f>MIN(Constants!$C$16,MAX(Constants!$C$15,Constants!$C$13-K13*Constants!$C$17))</f>
        <v>0.80999999999999994</v>
      </c>
      <c r="T13" s="15">
        <f>MIN(Constants!$C$24,N13*Constants!$C$23)</f>
        <v>9.6000000000000002E-2</v>
      </c>
      <c r="U13" s="15">
        <f>MIN(Constants!$C$36,Constants!$C$34+M13*Constants!$C$35)</f>
        <v>0.15400000000000003</v>
      </c>
      <c r="V13" s="14">
        <f>Constants!$C$46/F13</f>
        <v>9.0909090909090917</v>
      </c>
    </row>
    <row r="14" spans="1:22" x14ac:dyDescent="0.25">
      <c r="A14" s="17" t="s">
        <v>215</v>
      </c>
      <c r="B14" s="17" t="s">
        <v>216</v>
      </c>
      <c r="C14" s="17" t="s">
        <v>217</v>
      </c>
      <c r="D14" s="17" t="s">
        <v>218</v>
      </c>
      <c r="E14" s="17" t="s">
        <v>219</v>
      </c>
      <c r="F14" s="17">
        <v>13</v>
      </c>
      <c r="G14" s="17">
        <v>4</v>
      </c>
      <c r="H14" s="17">
        <v>2</v>
      </c>
      <c r="I14" s="17">
        <v>40</v>
      </c>
      <c r="J14" s="17">
        <v>20</v>
      </c>
      <c r="K14" s="17">
        <v>18</v>
      </c>
      <c r="L14" s="17">
        <v>120</v>
      </c>
      <c r="M14" s="17">
        <v>32</v>
      </c>
      <c r="N14" s="17">
        <v>24</v>
      </c>
      <c r="O14" s="17">
        <v>16</v>
      </c>
      <c r="P14" s="14">
        <f>(L14+J14)*Constants!$C$3</f>
        <v>28</v>
      </c>
      <c r="Q14" s="15">
        <f>MIN(Constants!$C$8,MAX(Constants!$C$7,Constants!$C$5+O14*Constants!$C$6))</f>
        <v>0.71000000000000008</v>
      </c>
      <c r="R14" s="14">
        <f t="shared" si="0"/>
        <v>19.880000000000003</v>
      </c>
      <c r="S14" s="15">
        <f>MIN(Constants!$C$16,MAX(Constants!$C$15,Constants!$C$13-K14*Constants!$C$17))</f>
        <v>0.81399999999999995</v>
      </c>
      <c r="T14" s="15">
        <f>MIN(Constants!$C$24,N14*Constants!$C$23)</f>
        <v>9.6000000000000002E-2</v>
      </c>
      <c r="U14" s="15">
        <f>MIN(Constants!$C$36,Constants!$C$34+M14*Constants!$C$35)</f>
        <v>0.17799999999999999</v>
      </c>
      <c r="V14" s="14">
        <f>Constants!$C$46/F14</f>
        <v>7.6923076923076925</v>
      </c>
    </row>
    <row r="15" spans="1:22" x14ac:dyDescent="0.25">
      <c r="A15" s="17" t="s">
        <v>220</v>
      </c>
      <c r="B15" s="17" t="s">
        <v>221</v>
      </c>
      <c r="C15" s="17" t="s">
        <v>217</v>
      </c>
      <c r="D15" s="17" t="s">
        <v>222</v>
      </c>
      <c r="E15" s="17" t="s">
        <v>223</v>
      </c>
      <c r="F15" s="17">
        <v>12</v>
      </c>
      <c r="G15" s="17">
        <v>4</v>
      </c>
      <c r="H15" s="17">
        <v>2</v>
      </c>
      <c r="I15" s="17">
        <v>40</v>
      </c>
      <c r="J15" s="17">
        <v>24</v>
      </c>
      <c r="K15" s="17">
        <v>16</v>
      </c>
      <c r="L15" s="17">
        <v>130</v>
      </c>
      <c r="M15" s="17">
        <v>24</v>
      </c>
      <c r="N15" s="17">
        <v>26</v>
      </c>
      <c r="O15" s="17">
        <v>30</v>
      </c>
      <c r="P15" s="14">
        <f>(L15+J15)*Constants!$C$3</f>
        <v>30.8</v>
      </c>
      <c r="Q15" s="15">
        <f>MIN(Constants!$C$8,MAX(Constants!$C$7,Constants!$C$5+O15*Constants!$C$6))</f>
        <v>0.85000000000000009</v>
      </c>
      <c r="R15" s="14">
        <f t="shared" si="0"/>
        <v>26.180000000000003</v>
      </c>
      <c r="S15" s="15">
        <f>MIN(Constants!$C$16,MAX(Constants!$C$15,Constants!$C$13-K15*Constants!$C$17))</f>
        <v>0.81799999999999995</v>
      </c>
      <c r="T15" s="15">
        <f>MIN(Constants!$C$24,N15*Constants!$C$23)</f>
        <v>0.10400000000000001</v>
      </c>
      <c r="U15" s="15">
        <f>MIN(Constants!$C$36,Constants!$C$34+M15*Constants!$C$35)</f>
        <v>0.14600000000000002</v>
      </c>
      <c r="V15" s="14">
        <f>Constants!$C$46/F15</f>
        <v>8.3333333333333339</v>
      </c>
    </row>
    <row r="16" spans="1:22" x14ac:dyDescent="0.25">
      <c r="A16" s="17" t="s">
        <v>224</v>
      </c>
      <c r="B16" s="17" t="s">
        <v>225</v>
      </c>
      <c r="C16" s="17" t="s">
        <v>217</v>
      </c>
      <c r="D16" s="17" t="s">
        <v>226</v>
      </c>
      <c r="E16" s="17" t="s">
        <v>227</v>
      </c>
      <c r="F16" s="17">
        <v>14</v>
      </c>
      <c r="G16" s="17">
        <v>4</v>
      </c>
      <c r="H16" s="17">
        <v>2</v>
      </c>
      <c r="I16" s="17">
        <v>40</v>
      </c>
      <c r="J16" s="17">
        <v>26</v>
      </c>
      <c r="K16" s="17">
        <v>14</v>
      </c>
      <c r="L16" s="17">
        <v>120</v>
      </c>
      <c r="M16" s="17">
        <v>38</v>
      </c>
      <c r="N16" s="17">
        <v>14</v>
      </c>
      <c r="O16" s="17">
        <v>18</v>
      </c>
      <c r="P16" s="14">
        <f>(L16+J16)*Constants!$C$3</f>
        <v>29.200000000000003</v>
      </c>
      <c r="Q16" s="15">
        <f>MIN(Constants!$C$8,MAX(Constants!$C$7,Constants!$C$5+O16*Constants!$C$6))</f>
        <v>0.73</v>
      </c>
      <c r="R16" s="14">
        <f t="shared" si="0"/>
        <v>21.316000000000003</v>
      </c>
      <c r="S16" s="15">
        <f>MIN(Constants!$C$16,MAX(Constants!$C$15,Constants!$C$13-K16*Constants!$C$17))</f>
        <v>0.82199999999999995</v>
      </c>
      <c r="T16" s="15">
        <f>MIN(Constants!$C$24,N16*Constants!$C$23)</f>
        <v>5.6000000000000001E-2</v>
      </c>
      <c r="U16" s="15">
        <f>MIN(Constants!$C$36,Constants!$C$34+M16*Constants!$C$35)</f>
        <v>0.20200000000000001</v>
      </c>
      <c r="V16" s="14">
        <f>Constants!$C$46/F16</f>
        <v>7.1428571428571432</v>
      </c>
    </row>
    <row r="17" spans="1:22" x14ac:dyDescent="0.25">
      <c r="A17" s="17" t="s">
        <v>228</v>
      </c>
      <c r="B17" s="17" t="s">
        <v>229</v>
      </c>
      <c r="C17" s="17" t="s">
        <v>217</v>
      </c>
      <c r="D17" s="17" t="s">
        <v>230</v>
      </c>
      <c r="E17" s="17" t="s">
        <v>231</v>
      </c>
      <c r="F17" s="17">
        <v>13</v>
      </c>
      <c r="G17" s="17">
        <v>4</v>
      </c>
      <c r="H17" s="17">
        <v>2</v>
      </c>
      <c r="I17" s="17">
        <v>40</v>
      </c>
      <c r="J17" s="17">
        <v>26</v>
      </c>
      <c r="K17" s="17">
        <v>14</v>
      </c>
      <c r="L17" s="17">
        <v>125</v>
      </c>
      <c r="M17" s="17">
        <v>28</v>
      </c>
      <c r="N17" s="17">
        <v>18</v>
      </c>
      <c r="O17" s="17">
        <v>28</v>
      </c>
      <c r="P17" s="14">
        <f>(L17+J17)*Constants!$C$3</f>
        <v>30.200000000000003</v>
      </c>
      <c r="Q17" s="15">
        <f>MIN(Constants!$C$8,MAX(Constants!$C$7,Constants!$C$5+O17*Constants!$C$6))</f>
        <v>0.83000000000000007</v>
      </c>
      <c r="R17" s="14">
        <f t="shared" si="0"/>
        <v>25.066000000000006</v>
      </c>
      <c r="S17" s="15">
        <f>MIN(Constants!$C$16,MAX(Constants!$C$15,Constants!$C$13-K17*Constants!$C$17))</f>
        <v>0.82199999999999995</v>
      </c>
      <c r="T17" s="15">
        <f>MIN(Constants!$C$24,N17*Constants!$C$23)</f>
        <v>7.2000000000000008E-2</v>
      </c>
      <c r="U17" s="15">
        <f>MIN(Constants!$C$36,Constants!$C$34+M17*Constants!$C$35)</f>
        <v>0.16200000000000001</v>
      </c>
      <c r="V17" s="14">
        <f>Constants!$C$46/F17</f>
        <v>7.6923076923076925</v>
      </c>
    </row>
    <row r="19" spans="1:22" x14ac:dyDescent="0.25">
      <c r="A19" s="7" t="s">
        <v>232</v>
      </c>
    </row>
    <row r="20" spans="1:22" ht="62.1" customHeight="1" x14ac:dyDescent="0.25">
      <c r="A20" s="16" t="s">
        <v>159</v>
      </c>
      <c r="B20" s="16" t="s">
        <v>65</v>
      </c>
      <c r="C20" s="16" t="s">
        <v>66</v>
      </c>
      <c r="D20" s="16" t="s">
        <v>71</v>
      </c>
      <c r="E20" s="16" t="s">
        <v>72</v>
      </c>
      <c r="F20" s="16" t="s">
        <v>73</v>
      </c>
      <c r="G20" s="16" t="s">
        <v>74</v>
      </c>
      <c r="H20" s="16" t="s">
        <v>81</v>
      </c>
      <c r="I20" s="16" t="s">
        <v>163</v>
      </c>
      <c r="J20" s="16" t="s">
        <v>83</v>
      </c>
    </row>
    <row r="21" spans="1:22" x14ac:dyDescent="0.25">
      <c r="A21" s="7" t="s">
        <v>166</v>
      </c>
      <c r="B21" s="14">
        <f t="shared" ref="B21:C24" si="1">AVERAGEIF($C$2:$C$17,$A21,F$2:F$17)</f>
        <v>12.25</v>
      </c>
      <c r="C21" s="14">
        <f t="shared" si="1"/>
        <v>3</v>
      </c>
      <c r="D21" s="14">
        <f t="shared" ref="D21:G24" si="2">AVERAGEIF($C$2:$C$17,$A21,L$2:L$17)</f>
        <v>126.25</v>
      </c>
      <c r="E21" s="14">
        <f t="shared" si="2"/>
        <v>27.5</v>
      </c>
      <c r="F21" s="14">
        <f t="shared" si="2"/>
        <v>26</v>
      </c>
      <c r="G21" s="14">
        <f t="shared" si="2"/>
        <v>18.5</v>
      </c>
      <c r="H21" s="14">
        <f t="shared" ref="H21:J24" si="3">AVERAGEIF($C$2:$C$17,$A21,R$2:R$17)</f>
        <v>22.523500000000002</v>
      </c>
      <c r="I21" s="15">
        <f t="shared" si="3"/>
        <v>0.81599999999999995</v>
      </c>
      <c r="J21" s="15">
        <f t="shared" si="3"/>
        <v>0.104</v>
      </c>
    </row>
    <row r="22" spans="1:22" x14ac:dyDescent="0.25">
      <c r="A22" s="7" t="s">
        <v>183</v>
      </c>
      <c r="B22" s="14">
        <f t="shared" si="1"/>
        <v>11.75</v>
      </c>
      <c r="C22" s="14">
        <f t="shared" si="1"/>
        <v>3</v>
      </c>
      <c r="D22" s="14">
        <f t="shared" si="2"/>
        <v>136.25</v>
      </c>
      <c r="E22" s="14">
        <f t="shared" si="2"/>
        <v>25</v>
      </c>
      <c r="F22" s="14">
        <f t="shared" si="2"/>
        <v>26</v>
      </c>
      <c r="G22" s="14">
        <f t="shared" si="2"/>
        <v>31.5</v>
      </c>
      <c r="H22" s="14">
        <f t="shared" si="3"/>
        <v>27.886500000000005</v>
      </c>
      <c r="I22" s="15">
        <f t="shared" si="3"/>
        <v>0.81599999999999995</v>
      </c>
      <c r="J22" s="15">
        <f t="shared" si="3"/>
        <v>0.104</v>
      </c>
    </row>
    <row r="23" spans="1:22" x14ac:dyDescent="0.25">
      <c r="A23" s="7" t="s">
        <v>200</v>
      </c>
      <c r="B23" s="14">
        <f t="shared" si="1"/>
        <v>11.25</v>
      </c>
      <c r="C23" s="14">
        <f t="shared" si="1"/>
        <v>3</v>
      </c>
      <c r="D23" s="14">
        <f t="shared" si="2"/>
        <v>133.75</v>
      </c>
      <c r="E23" s="14">
        <f t="shared" si="2"/>
        <v>26.5</v>
      </c>
      <c r="F23" s="14">
        <f t="shared" si="2"/>
        <v>26.5</v>
      </c>
      <c r="G23" s="14">
        <f t="shared" si="2"/>
        <v>22.5</v>
      </c>
      <c r="H23" s="14">
        <f t="shared" si="3"/>
        <v>24.028500000000001</v>
      </c>
      <c r="I23" s="15">
        <f t="shared" si="3"/>
        <v>0.80399999999999994</v>
      </c>
      <c r="J23" s="15">
        <f t="shared" si="3"/>
        <v>0.10599999999999998</v>
      </c>
    </row>
    <row r="24" spans="1:22" x14ac:dyDescent="0.25">
      <c r="A24" s="7" t="s">
        <v>217</v>
      </c>
      <c r="B24" s="14">
        <f t="shared" si="1"/>
        <v>13</v>
      </c>
      <c r="C24" s="14">
        <f t="shared" si="1"/>
        <v>4</v>
      </c>
      <c r="D24" s="14">
        <f t="shared" si="2"/>
        <v>123.75</v>
      </c>
      <c r="E24" s="14">
        <f t="shared" si="2"/>
        <v>30.5</v>
      </c>
      <c r="F24" s="14">
        <f t="shared" si="2"/>
        <v>20.5</v>
      </c>
      <c r="G24" s="14">
        <f t="shared" si="2"/>
        <v>23</v>
      </c>
      <c r="H24" s="14">
        <f t="shared" si="3"/>
        <v>23.110500000000002</v>
      </c>
      <c r="I24" s="15">
        <f t="shared" si="3"/>
        <v>0.81899999999999995</v>
      </c>
      <c r="J24" s="15">
        <f t="shared" si="3"/>
        <v>8.2000000000000003E-2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7" customWidth="1"/>
    <col min="2" max="2" width="10" customWidth="1"/>
    <col min="3" max="3" width="9" customWidth="1"/>
    <col min="4" max="4" width="8" customWidth="1"/>
    <col min="5" max="5" width="95" customWidth="1"/>
    <col min="6" max="7" width="13" customWidth="1"/>
  </cols>
  <sheetData>
    <row r="1" spans="1:7" ht="62.1" customHeight="1" x14ac:dyDescent="0.25">
      <c r="A1" s="16" t="s">
        <v>233</v>
      </c>
      <c r="B1" s="16" t="s">
        <v>158</v>
      </c>
      <c r="C1" s="16" t="s">
        <v>234</v>
      </c>
      <c r="D1" s="16" t="s">
        <v>235</v>
      </c>
      <c r="E1" s="16" t="s">
        <v>236</v>
      </c>
      <c r="F1" s="16" t="s">
        <v>237</v>
      </c>
      <c r="G1" s="16" t="s">
        <v>238</v>
      </c>
    </row>
    <row r="2" spans="1:7" x14ac:dyDescent="0.25">
      <c r="A2" s="7" t="s">
        <v>239</v>
      </c>
      <c r="B2" s="17" t="s">
        <v>71</v>
      </c>
      <c r="C2" s="17">
        <v>0</v>
      </c>
      <c r="D2" s="17">
        <v>1</v>
      </c>
      <c r="E2" s="9" t="str">
        <f>"Party on enemy: raises their faith by Preach strength; at "&amp;Constants!$C$2&amp;" they convert. Enemy on party: lowers it. Misses on a Love roll."</f>
        <v>Party on enemy: raises their faith by Preach strength; at 200 they convert. Enemy on party: lowers it. Misses on a Love roll.</v>
      </c>
      <c r="F2" s="9">
        <f>SUMPRODUCT(--ISNUMBER(SEARCH("|"&amp;A2&amp;"|","|"&amp;Units!$H$2:$H$108&amp;"|")))</f>
        <v>101</v>
      </c>
      <c r="G2" s="9">
        <f>SUMPRODUCT(--ISNUMBER(SEARCH("|"&amp;A2&amp;"|","|"&amp;Classes!$E$2:$E$17&amp;"|")))</f>
        <v>16</v>
      </c>
    </row>
    <row r="3" spans="1:7" x14ac:dyDescent="0.25">
      <c r="A3" s="7" t="s">
        <v>240</v>
      </c>
      <c r="B3" s="17" t="s">
        <v>241</v>
      </c>
      <c r="C3" s="17">
        <v>0</v>
      </c>
      <c r="D3" s="17">
        <v>3</v>
      </c>
      <c r="E3" s="9" t="str">
        <f>"Strikes the target down (removed). Archers ignore the uphill penalty. A guard blocks it."</f>
        <v>Strikes the target down (removed). Archers ignore the uphill penalty. A guard blocks it.</v>
      </c>
      <c r="F3" s="9">
        <f>SUMPRODUCT(--ISNUMBER(SEARCH("|"&amp;A3&amp;"|","|"&amp;Units!$H$2:$H$108&amp;"|")))</f>
        <v>6</v>
      </c>
      <c r="G3" s="9">
        <f>SUMPRODUCT(--ISNUMBER(SEARCH("|"&amp;A3&amp;"|","|"&amp;Classes!$E$2:$E$17&amp;"|")))</f>
        <v>0</v>
      </c>
    </row>
    <row r="4" spans="1:7" x14ac:dyDescent="0.25">
      <c r="A4" s="7" t="s">
        <v>242</v>
      </c>
      <c r="B4" s="17" t="s">
        <v>243</v>
      </c>
      <c r="C4" s="17">
        <v>0</v>
      </c>
      <c r="D4" s="17">
        <v>1</v>
      </c>
      <c r="E4" s="9" t="str">
        <f>"Raises an ally's faith by the user's Preach strength. Always lands."</f>
        <v>Raises an ally's faith by the user's Preach strength. Always lands.</v>
      </c>
      <c r="F4" s="9">
        <f>SUMPRODUCT(--ISNUMBER(SEARCH("|"&amp;A4&amp;"|","|"&amp;Units!$H$2:$H$108&amp;"|")))</f>
        <v>21</v>
      </c>
      <c r="G4" s="9">
        <f>SUMPRODUCT(--ISNUMBER(SEARCH("|"&amp;A4&amp;"|","|"&amp;Classes!$E$2:$E$17&amp;"|")))</f>
        <v>5</v>
      </c>
    </row>
    <row r="5" spans="1:7" x14ac:dyDescent="0.25">
      <c r="A5" s="7" t="s">
        <v>243</v>
      </c>
      <c r="B5" s="17" t="s">
        <v>243</v>
      </c>
      <c r="C5" s="17">
        <v>15</v>
      </c>
      <c r="D5" s="17">
        <v>2</v>
      </c>
      <c r="E5" s="9" t="str">
        <f>"Raises an ally's faith by the user's Preach strength. Always lands."</f>
        <v>Raises an ally's faith by the user's Preach strength. Always lands.</v>
      </c>
      <c r="F5" s="9">
        <f>SUMPRODUCT(--ISNUMBER(SEARCH("|"&amp;A5&amp;"|","|"&amp;Units!$H$2:$H$108&amp;"|")))</f>
        <v>13</v>
      </c>
      <c r="G5" s="9">
        <f>SUMPRODUCT(--ISNUMBER(SEARCH("|"&amp;A5&amp;"|","|"&amp;Classes!$E$2:$E$17&amp;"|")))</f>
        <v>0</v>
      </c>
    </row>
    <row r="6" spans="1:7" x14ac:dyDescent="0.25">
      <c r="A6" s="7" t="s">
        <v>244</v>
      </c>
      <c r="B6" s="17" t="s">
        <v>245</v>
      </c>
      <c r="C6" s="17">
        <v>50</v>
      </c>
      <c r="D6" s="17">
        <v>0</v>
      </c>
      <c r="E6" s="9" t="str">
        <f>"+"&amp;Constants!$C$29&amp;" Love to allies within "&amp;Constants!$C$30&amp;" tiles for "&amp;Constants!$C$31&amp;" turns."</f>
        <v>+50 Love to allies within 2 tiles for 3 turns.</v>
      </c>
      <c r="F6" s="9">
        <f>SUMPRODUCT(--ISNUMBER(SEARCH("|"&amp;A6&amp;"|","|"&amp;Units!$H$2:$H$108&amp;"|")))</f>
        <v>6</v>
      </c>
      <c r="G6" s="9">
        <f>SUMPRODUCT(--ISNUMBER(SEARCH("|"&amp;A6&amp;"|","|"&amp;Classes!$E$2:$E$17&amp;"|")))</f>
        <v>0</v>
      </c>
    </row>
    <row r="7" spans="1:7" x14ac:dyDescent="0.25">
      <c r="A7" s="7" t="s">
        <v>246</v>
      </c>
      <c r="B7" s="17" t="s">
        <v>245</v>
      </c>
      <c r="C7" s="17">
        <v>0</v>
      </c>
      <c r="D7" s="17">
        <v>1</v>
      </c>
      <c r="E7" s="9" t="str">
        <f>"Guards an ally: blocks the next Physical hit."</f>
        <v>Guards an ally: blocks the next Physical hit.</v>
      </c>
      <c r="F7" s="9">
        <f>SUMPRODUCT(--ISNUMBER(SEARCH("|"&amp;A7&amp;"|","|"&amp;Units!$H$2:$H$108&amp;"|")))</f>
        <v>29</v>
      </c>
      <c r="G7" s="9">
        <f>SUMPRODUCT(--ISNUMBER(SEARCH("|"&amp;A7&amp;"|","|"&amp;Classes!$E$2:$E$17&amp;"|")))</f>
        <v>4</v>
      </c>
    </row>
    <row r="8" spans="1:7" x14ac:dyDescent="0.25">
      <c r="A8" s="7" t="s">
        <v>247</v>
      </c>
      <c r="B8" s="17" t="s">
        <v>241</v>
      </c>
      <c r="C8" s="17">
        <v>0</v>
      </c>
      <c r="D8" s="17">
        <v>1</v>
      </c>
      <c r="E8" s="9" t="str">
        <f>"Disarms the target for "&amp;Constants!$C$22&amp;" turns (can't act)."</f>
        <v>Disarms the target for 2 turns (can't act).</v>
      </c>
      <c r="F8" s="9">
        <f>SUMPRODUCT(--ISNUMBER(SEARCH("|"&amp;A8&amp;"|","|"&amp;Units!$H$2:$H$108&amp;"|")))</f>
        <v>33</v>
      </c>
      <c r="G8" s="9">
        <f>SUMPRODUCT(--ISNUMBER(SEARCH("|"&amp;A8&amp;"|","|"&amp;Classes!$E$2:$E$17&amp;"|")))</f>
        <v>2</v>
      </c>
    </row>
    <row r="9" spans="1:7" x14ac:dyDescent="0.25">
      <c r="A9" s="7" t="s">
        <v>248</v>
      </c>
      <c r="B9" s="17" t="s">
        <v>245</v>
      </c>
      <c r="C9" s="17">
        <v>5</v>
      </c>
      <c r="D9" s="17">
        <v>4</v>
      </c>
      <c r="E9" s="9" t="str">
        <f>"+"&amp;Constants!$C$28&amp;" CT to an ally - their next turn comes sooner."</f>
        <v>+40 CT to an ally - their next turn comes sooner.</v>
      </c>
      <c r="F9" s="9">
        <f>SUMPRODUCT(--ISNUMBER(SEARCH("|"&amp;A9&amp;"|","|"&amp;Units!$H$2:$H$108&amp;"|")))</f>
        <v>2</v>
      </c>
      <c r="G9" s="9">
        <f>SUMPRODUCT(--ISNUMBER(SEARCH("|"&amp;A9&amp;"|","|"&amp;Classes!$E$2:$E$17&amp;"|")))</f>
        <v>0</v>
      </c>
    </row>
    <row r="10" spans="1:7" x14ac:dyDescent="0.25">
      <c r="A10" s="7" t="s">
        <v>249</v>
      </c>
      <c r="B10" s="17" t="s">
        <v>250</v>
      </c>
      <c r="C10" s="17">
        <v>0</v>
      </c>
      <c r="D10" s="17">
        <v>3</v>
      </c>
      <c r="E10" s="9" t="str">
        <f>"Snares the target for "&amp;Constants!$C$27&amp;" turns (can't move). Patience resists."</f>
        <v>Snares the target for 2 turns (can't move). Patience resists.</v>
      </c>
      <c r="F10" s="9">
        <f>SUMPRODUCT(--ISNUMBER(SEARCH("|"&amp;A10&amp;"|","|"&amp;Units!$H$2:$H$108&amp;"|")))</f>
        <v>23</v>
      </c>
      <c r="G10" s="9">
        <f>SUMPRODUCT(--ISNUMBER(SEARCH("|"&amp;A10&amp;"|","|"&amp;Classes!$E$2:$E$17&amp;"|")))</f>
        <v>2</v>
      </c>
    </row>
    <row r="11" spans="1:7" x14ac:dyDescent="0.25">
      <c r="A11" s="7" t="s">
        <v>251</v>
      </c>
      <c r="B11" s="17" t="s">
        <v>250</v>
      </c>
      <c r="C11" s="17">
        <v>0</v>
      </c>
      <c r="D11" s="17">
        <v>1</v>
      </c>
      <c r="E11" s="9" t="str">
        <f>""&amp;TEXT(Constants!$C$25,"0%")&amp;" chance to stun 1 turn and push "&amp;Constants!$C$26&amp;" tiles. Patience resists."</f>
        <v>50% chance to stun 1 turn and push 2 tiles. Patience resists.</v>
      </c>
      <c r="F11" s="9">
        <f>SUMPRODUCT(--ISNUMBER(SEARCH("|"&amp;A11&amp;"|","|"&amp;Units!$H$2:$H$108&amp;"|")))</f>
        <v>17</v>
      </c>
      <c r="G11" s="9">
        <f>SUMPRODUCT(--ISNUMBER(SEARCH("|"&amp;A11&amp;"|","|"&amp;Classes!$E$2:$E$17&amp;"|")))</f>
        <v>3</v>
      </c>
    </row>
    <row r="12" spans="1:7" x14ac:dyDescent="0.25">
      <c r="A12" s="7" t="s">
        <v>252</v>
      </c>
      <c r="B12" s="17" t="s">
        <v>245</v>
      </c>
      <c r="C12" s="17">
        <v>0</v>
      </c>
      <c r="D12" s="17">
        <v>2</v>
      </c>
      <c r="E12" s="9" t="str">
        <f>"Enemy Medic: lowers an ally's faith by up to "&amp;Constants!$C$32&amp;" (not below "&amp;Constants!$C$33&amp;") and clears statuses. Party: raises faith."</f>
        <v>Enemy Medic: lowers an ally's faith by up to 20 (not below 100) and clears statuses. Party: raises faith.</v>
      </c>
      <c r="F12" s="9">
        <f>SUMPRODUCT(--ISNUMBER(SEARCH("|"&amp;A12&amp;"|","|"&amp;Units!$H$2:$H$108&amp;"|")))</f>
        <v>9</v>
      </c>
      <c r="G12" s="9">
        <f>SUMPRODUCT(--ISNUMBER(SEARCH("|"&amp;A12&amp;"|","|"&amp;Classes!$E$2:$E$17&amp;"|")))</f>
        <v>0</v>
      </c>
    </row>
    <row r="13" spans="1:7" x14ac:dyDescent="0.25">
      <c r="A13" s="7" t="s">
        <v>167</v>
      </c>
      <c r="B13" s="17" t="s">
        <v>245</v>
      </c>
      <c r="C13" s="17">
        <v>10</v>
      </c>
      <c r="D13" s="17">
        <v>0</v>
      </c>
      <c r="E13" s="9" t="str">
        <f>"Allies within 2: +1 Move, +5 Speed for 2 turns."</f>
        <v>Allies within 2: +1 Move, +5 Speed for 2 turns.</v>
      </c>
      <c r="F13" s="9">
        <f>SUMPRODUCT(--ISNUMBER(SEARCH("|"&amp;A13&amp;"|","|"&amp;Units!$H$2:$H$108&amp;"|")))</f>
        <v>0</v>
      </c>
      <c r="G13" s="9">
        <f>SUMPRODUCT(--ISNUMBER(SEARCH("|"&amp;A13&amp;"|","|"&amp;Classes!$E$2:$E$17&amp;"|")))</f>
        <v>1</v>
      </c>
    </row>
    <row r="14" spans="1:7" x14ac:dyDescent="0.25">
      <c r="A14" s="7" t="s">
        <v>171</v>
      </c>
      <c r="B14" s="17" t="s">
        <v>250</v>
      </c>
      <c r="C14" s="17">
        <v>5</v>
      </c>
      <c r="D14" s="17">
        <v>2</v>
      </c>
      <c r="E14" s="9" t="str">
        <f>"Never misses: +"&amp;Constants!$C$53&amp;" faith to an enemy."</f>
        <v>Never misses: +25 faith to an enemy.</v>
      </c>
      <c r="F14" s="9">
        <f>SUMPRODUCT(--ISNUMBER(SEARCH("|"&amp;A14&amp;"|","|"&amp;Units!$H$2:$H$108&amp;"|")))</f>
        <v>0</v>
      </c>
      <c r="G14" s="9">
        <f>SUMPRODUCT(--ISNUMBER(SEARCH("|"&amp;A14&amp;"|","|"&amp;Classes!$E$2:$E$17&amp;"|")))</f>
        <v>1</v>
      </c>
    </row>
    <row r="15" spans="1:7" x14ac:dyDescent="0.25">
      <c r="A15" s="7" t="s">
        <v>175</v>
      </c>
      <c r="B15" s="17" t="s">
        <v>245</v>
      </c>
      <c r="C15" s="17">
        <v>10</v>
      </c>
      <c r="D15" s="17">
        <v>0</v>
      </c>
      <c r="E15" s="9" t="str">
        <f>"Allies within 2: +"&amp;Constants!$C$57&amp;" CT."</f>
        <v>Allies within 2: +30 CT.</v>
      </c>
      <c r="F15" s="9">
        <f>SUMPRODUCT(--ISNUMBER(SEARCH("|"&amp;A15&amp;"|","|"&amp;Units!$H$2:$H$108&amp;"|")))</f>
        <v>0</v>
      </c>
      <c r="G15" s="9">
        <f>SUMPRODUCT(--ISNUMBER(SEARCH("|"&amp;A15&amp;"|","|"&amp;Classes!$E$2:$E$17&amp;"|")))</f>
        <v>1</v>
      </c>
    </row>
    <row r="16" spans="1:7" x14ac:dyDescent="0.25">
      <c r="A16" s="7" t="s">
        <v>179</v>
      </c>
      <c r="B16" s="17" t="s">
        <v>250</v>
      </c>
      <c r="C16" s="17">
        <v>0</v>
      </c>
      <c r="D16" s="17">
        <v>1</v>
      </c>
      <c r="E16" s="9" t="str">
        <f>"Stun 1 turn and +10 faith. Patience resists."</f>
        <v>Stun 1 turn and +10 faith. Patience resists.</v>
      </c>
      <c r="F16" s="9">
        <f>SUMPRODUCT(--ISNUMBER(SEARCH("|"&amp;A16&amp;"|","|"&amp;Units!$H$2:$H$108&amp;"|")))</f>
        <v>0</v>
      </c>
      <c r="G16" s="9">
        <f>SUMPRODUCT(--ISNUMBER(SEARCH("|"&amp;A16&amp;"|","|"&amp;Classes!$E$2:$E$17&amp;"|")))</f>
        <v>1</v>
      </c>
    </row>
    <row r="17" spans="1:7" x14ac:dyDescent="0.25">
      <c r="A17" s="7" t="s">
        <v>184</v>
      </c>
      <c r="B17" s="17" t="s">
        <v>245</v>
      </c>
      <c r="C17" s="17">
        <v>10</v>
      </c>
      <c r="D17" s="17">
        <v>3</v>
      </c>
      <c r="E17" s="9" t="str">
        <f>"Cures an ally's Despair and statuses, +"&amp;Constants!$C$54&amp;" faith."</f>
        <v>Cures an ally's Despair and statuses, +30 faith.</v>
      </c>
      <c r="F17" s="9">
        <f>SUMPRODUCT(--ISNUMBER(SEARCH("|"&amp;A17&amp;"|","|"&amp;Units!$H$2:$H$108&amp;"|")))</f>
        <v>0</v>
      </c>
      <c r="G17" s="9">
        <f>SUMPRODUCT(--ISNUMBER(SEARCH("|"&amp;A17&amp;"|","|"&amp;Classes!$E$2:$E$17&amp;"|")))</f>
        <v>1</v>
      </c>
    </row>
    <row r="18" spans="1:7" x14ac:dyDescent="0.25">
      <c r="A18" s="7" t="s">
        <v>188</v>
      </c>
      <c r="B18" s="17" t="s">
        <v>250</v>
      </c>
      <c r="C18" s="17">
        <v>5</v>
      </c>
      <c r="D18" s="17">
        <v>2</v>
      </c>
      <c r="E18" s="9" t="str">
        <f>"Disarms an enemy for 2 turns. Patience resists."</f>
        <v>Disarms an enemy for 2 turns. Patience resists.</v>
      </c>
      <c r="F18" s="9">
        <f>SUMPRODUCT(--ISNUMBER(SEARCH("|"&amp;A18&amp;"|","|"&amp;Units!$H$2:$H$108&amp;"|")))</f>
        <v>0</v>
      </c>
      <c r="G18" s="9">
        <f>SUMPRODUCT(--ISNUMBER(SEARCH("|"&amp;A18&amp;"|","|"&amp;Classes!$E$2:$E$17&amp;"|")))</f>
        <v>1</v>
      </c>
    </row>
    <row r="19" spans="1:7" x14ac:dyDescent="0.25">
      <c r="A19" s="7" t="s">
        <v>192</v>
      </c>
      <c r="B19" s="17" t="s">
        <v>245</v>
      </c>
      <c r="C19" s="17">
        <v>10</v>
      </c>
      <c r="D19" s="17">
        <v>0</v>
      </c>
      <c r="E19" s="9" t="str">
        <f>"Allies within 2: +"&amp;Constants!$C$55&amp;" faith."</f>
        <v>Allies within 2: +15 faith.</v>
      </c>
      <c r="F19" s="9">
        <f>SUMPRODUCT(--ISNUMBER(SEARCH("|"&amp;A19&amp;"|","|"&amp;Units!$H$2:$H$108&amp;"|")))</f>
        <v>0</v>
      </c>
      <c r="G19" s="9">
        <f>SUMPRODUCT(--ISNUMBER(SEARCH("|"&amp;A19&amp;"|","|"&amp;Classes!$E$2:$E$17&amp;"|")))</f>
        <v>1</v>
      </c>
    </row>
    <row r="20" spans="1:7" x14ac:dyDescent="0.25">
      <c r="A20" s="7" t="s">
        <v>196</v>
      </c>
      <c r="B20" s="17" t="s">
        <v>250</v>
      </c>
      <c r="C20" s="17">
        <v>10</v>
      </c>
      <c r="D20" s="17">
        <v>2</v>
      </c>
      <c r="E20" s="9" t="str">
        <f>"Preaches the target and every enemy beside it at "&amp;TEXT(Constants!$C$56,"0%")&amp;" strength (Love roll each)."</f>
        <v>Preaches the target and every enemy beside it at 60% strength (Love roll each).</v>
      </c>
      <c r="F20" s="9">
        <f>SUMPRODUCT(--ISNUMBER(SEARCH("|"&amp;A20&amp;"|","|"&amp;Units!$H$2:$H$108&amp;"|")))</f>
        <v>0</v>
      </c>
      <c r="G20" s="9">
        <f>SUMPRODUCT(--ISNUMBER(SEARCH("|"&amp;A20&amp;"|","|"&amp;Classes!$E$2:$E$17&amp;"|")))</f>
        <v>1</v>
      </c>
    </row>
    <row r="21" spans="1:7" x14ac:dyDescent="0.25">
      <c r="A21" s="7" t="s">
        <v>201</v>
      </c>
      <c r="B21" s="17" t="s">
        <v>245</v>
      </c>
      <c r="C21" s="17">
        <v>0</v>
      </c>
      <c r="D21" s="17">
        <v>1</v>
      </c>
      <c r="E21" s="9" t="str">
        <f>"Refills an ally's MP, cures Snare/Stun, +10 faith."</f>
        <v>Refills an ally's MP, cures Snare/Stun, +10 faith.</v>
      </c>
      <c r="F21" s="9">
        <f>SUMPRODUCT(--ISNUMBER(SEARCH("|"&amp;A21&amp;"|","|"&amp;Units!$H$2:$H$108&amp;"|")))</f>
        <v>0</v>
      </c>
      <c r="G21" s="9">
        <f>SUMPRODUCT(--ISNUMBER(SEARCH("|"&amp;A21&amp;"|","|"&amp;Classes!$E$2:$E$17&amp;"|")))</f>
        <v>1</v>
      </c>
    </row>
    <row r="22" spans="1:7" x14ac:dyDescent="0.25">
      <c r="A22" s="7" t="s">
        <v>205</v>
      </c>
      <c r="B22" s="17" t="s">
        <v>245</v>
      </c>
      <c r="C22" s="17">
        <v>5</v>
      </c>
      <c r="D22" s="17">
        <v>1</v>
      </c>
      <c r="E22" s="9" t="str">
        <f>"Guards an ally and stops their faith being shaken for 2 turns."</f>
        <v>Guards an ally and stops their faith being shaken for 2 turns.</v>
      </c>
      <c r="F22" s="9">
        <f>SUMPRODUCT(--ISNUMBER(SEARCH("|"&amp;A22&amp;"|","|"&amp;Units!$H$2:$H$108&amp;"|")))</f>
        <v>0</v>
      </c>
      <c r="G22" s="9">
        <f>SUMPRODUCT(--ISNUMBER(SEARCH("|"&amp;A22&amp;"|","|"&amp;Classes!$E$2:$E$17&amp;"|")))</f>
        <v>1</v>
      </c>
    </row>
    <row r="23" spans="1:7" x14ac:dyDescent="0.25">
      <c r="A23" s="7" t="s">
        <v>209</v>
      </c>
      <c r="B23" s="17" t="s">
        <v>250</v>
      </c>
      <c r="C23" s="17">
        <v>5</v>
      </c>
      <c r="D23" s="17">
        <v>1</v>
      </c>
      <c r="E23" s="9" t="str">
        <f>"Snare "&amp;Constants!$C$65&amp;" turns and disarm 1. Patience resists."</f>
        <v>Snare 3 turns and disarm 1. Patience resists.</v>
      </c>
      <c r="F23" s="9">
        <f>SUMPRODUCT(--ISNUMBER(SEARCH("|"&amp;A23&amp;"|","|"&amp;Units!$H$2:$H$108&amp;"|")))</f>
        <v>0</v>
      </c>
      <c r="G23" s="9">
        <f>SUMPRODUCT(--ISNUMBER(SEARCH("|"&amp;A23&amp;"|","|"&amp;Classes!$E$2:$E$17&amp;"|")))</f>
        <v>1</v>
      </c>
    </row>
    <row r="24" spans="1:7" x14ac:dyDescent="0.25">
      <c r="A24" s="7" t="s">
        <v>213</v>
      </c>
      <c r="B24" s="17" t="s">
        <v>245</v>
      </c>
      <c r="C24" s="17">
        <v>10</v>
      </c>
      <c r="D24" s="17">
        <v>0</v>
      </c>
      <c r="E24" s="9" t="str">
        <f>"Allies within 1: +"&amp;Constants!$C$64&amp;" faith, +10 Love for 2 turns."</f>
        <v>Allies within 1: +20 faith, +10 Love for 2 turns.</v>
      </c>
      <c r="F24" s="9">
        <f>SUMPRODUCT(--ISNUMBER(SEARCH("|"&amp;A24&amp;"|","|"&amp;Units!$H$2:$H$108&amp;"|")))</f>
        <v>0</v>
      </c>
      <c r="G24" s="9">
        <f>SUMPRODUCT(--ISNUMBER(SEARCH("|"&amp;A24&amp;"|","|"&amp;Classes!$E$2:$E$17&amp;"|")))</f>
        <v>1</v>
      </c>
    </row>
    <row r="25" spans="1:7" x14ac:dyDescent="0.25">
      <c r="A25" s="7" t="s">
        <v>218</v>
      </c>
      <c r="B25" s="17" t="s">
        <v>241</v>
      </c>
      <c r="C25" s="17">
        <v>0</v>
      </c>
      <c r="D25" s="17">
        <v>4</v>
      </c>
      <c r="E25" s="9" t="str">
        <f>"Ranged disarm (4 tiles) for "&amp;Constants!$C$22&amp;" turns."</f>
        <v>Ranged disarm (4 tiles) for 2 turns.</v>
      </c>
      <c r="F25" s="9">
        <f>SUMPRODUCT(--ISNUMBER(SEARCH("|"&amp;A25&amp;"|","|"&amp;Units!$H$2:$H$108&amp;"|")))</f>
        <v>0</v>
      </c>
      <c r="G25" s="9">
        <f>SUMPRODUCT(--ISNUMBER(SEARCH("|"&amp;A25&amp;"|","|"&amp;Classes!$E$2:$E$17&amp;"|")))</f>
        <v>1</v>
      </c>
    </row>
    <row r="26" spans="1:7" x14ac:dyDescent="0.25">
      <c r="A26" s="7" t="s">
        <v>222</v>
      </c>
      <c r="B26" s="17" t="s">
        <v>245</v>
      </c>
      <c r="C26" s="17">
        <v>10</v>
      </c>
      <c r="D26" s="17">
        <v>0</v>
      </c>
      <c r="E26" s="9" t="str">
        <f>"Enemies within 2: -"&amp;Constants!$C$58&amp;" CT. Allies within 2: +10 faith."</f>
        <v>Enemies within 2: -30 CT. Allies within 2: +10 faith.</v>
      </c>
      <c r="F26" s="9">
        <f>SUMPRODUCT(--ISNUMBER(SEARCH("|"&amp;A26&amp;"|","|"&amp;Units!$H$2:$H$108&amp;"|")))</f>
        <v>0</v>
      </c>
      <c r="G26" s="9">
        <f>SUMPRODUCT(--ISNUMBER(SEARCH("|"&amp;A26&amp;"|","|"&amp;Classes!$E$2:$E$17&amp;"|")))</f>
        <v>1</v>
      </c>
    </row>
    <row r="27" spans="1:7" x14ac:dyDescent="0.25">
      <c r="A27" s="7" t="s">
        <v>226</v>
      </c>
      <c r="B27" s="17" t="s">
        <v>250</v>
      </c>
      <c r="C27" s="17">
        <v>0</v>
      </c>
      <c r="D27" s="17">
        <v>1</v>
      </c>
      <c r="E27" s="9" t="str">
        <f>""&amp;TEXT(Constants!$C$59,"0%")&amp;" chance: +"&amp;Constants!$C$60&amp;" faith to the enemy; otherwise the caster loses "&amp;Constants!$C$61&amp;"."</f>
        <v>55% chance: +60 faith to the enemy; otherwise the caster loses 20.</v>
      </c>
      <c r="F27" s="9">
        <f>SUMPRODUCT(--ISNUMBER(SEARCH("|"&amp;A27&amp;"|","|"&amp;Units!$H$2:$H$108&amp;"|")))</f>
        <v>0</v>
      </c>
      <c r="G27" s="9">
        <f>SUMPRODUCT(--ISNUMBER(SEARCH("|"&amp;A27&amp;"|","|"&amp;Classes!$E$2:$E$17&amp;"|")))</f>
        <v>1</v>
      </c>
    </row>
    <row r="28" spans="1:7" x14ac:dyDescent="0.25">
      <c r="A28" s="7" t="s">
        <v>230</v>
      </c>
      <c r="B28" s="17" t="s">
        <v>250</v>
      </c>
      <c r="C28" s="17">
        <v>5</v>
      </c>
      <c r="D28" s="17">
        <v>3</v>
      </c>
      <c r="E28" s="9" t="str">
        <f>"+"&amp;Constants!$C$62&amp;" faith and -"&amp;Constants!$C$63&amp;" CT to an enemy, range 3."</f>
        <v>+15 faith and -40 CT to an enemy, range 3.</v>
      </c>
      <c r="F28" s="9">
        <f>SUMPRODUCT(--ISNUMBER(SEARCH("|"&amp;A28&amp;"|","|"&amp;Units!$H$2:$H$108&amp;"|")))</f>
        <v>0</v>
      </c>
      <c r="G28" s="9">
        <f>SUMPRODUCT(--ISNUMBER(SEARCH("|"&amp;A28&amp;"|","|"&amp;Classes!$E$2:$E$17&amp;"|")))</f>
        <v>1</v>
      </c>
    </row>
    <row r="29" spans="1:7" x14ac:dyDescent="0.25">
      <c r="A29" s="7" t="s">
        <v>253</v>
      </c>
      <c r="B29" s="17" t="s">
        <v>250</v>
      </c>
      <c r="C29" s="17">
        <v>0</v>
      </c>
      <c r="D29" s="17">
        <v>1</v>
      </c>
      <c r="E29" s="9" t="str">
        <f>"Never misses: -"&amp;Constants!$C$42&amp;" faith and -"&amp;Constants!$C$43&amp;" Move for "&amp;Constants!$C$44&amp;" turns. At 0 faith the disciple is arrested."</f>
        <v>Never misses: -10 faith and -1 Move for 2 turns. At 0 faith the disciple is arrested.</v>
      </c>
      <c r="F29" s="9">
        <f>SUMPRODUCT(--ISNUMBER(SEARCH("|"&amp;A29&amp;"|","|"&amp;Units!$H$2:$H$108&amp;"|")))</f>
        <v>5</v>
      </c>
      <c r="G29" s="9">
        <f>SUMPRODUCT(--ISNUMBER(SEARCH("|"&amp;A29&amp;"|","|"&amp;Classes!$E$2:$E$17&amp;"|")))</f>
        <v>0</v>
      </c>
    </row>
  </sheetData>
  <autoFilter ref="A1:G2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28" customWidth="1"/>
    <col min="3" max="4" width="8" customWidth="1"/>
    <col min="5" max="6" width="9" customWidth="1"/>
    <col min="7" max="8" width="10" customWidth="1"/>
    <col min="9" max="10" width="13" customWidth="1"/>
    <col min="11" max="11" width="16" customWidth="1"/>
    <col min="12" max="12" width="13" customWidth="1"/>
    <col min="13" max="13" width="14" customWidth="1"/>
  </cols>
  <sheetData>
    <row r="1" spans="1:13" ht="62.1" customHeight="1" x14ac:dyDescent="0.25">
      <c r="A1" s="16" t="s">
        <v>58</v>
      </c>
      <c r="B1" s="16" t="s">
        <v>254</v>
      </c>
      <c r="C1" s="16" t="s">
        <v>255</v>
      </c>
      <c r="D1" s="16" t="s">
        <v>256</v>
      </c>
      <c r="E1" s="16" t="s">
        <v>257</v>
      </c>
      <c r="F1" s="16" t="s">
        <v>258</v>
      </c>
      <c r="G1" s="16" t="s">
        <v>259</v>
      </c>
      <c r="H1" s="16" t="s">
        <v>260</v>
      </c>
      <c r="I1" s="16" t="s">
        <v>261</v>
      </c>
      <c r="J1" s="16" t="s">
        <v>262</v>
      </c>
      <c r="K1" s="16" t="s">
        <v>263</v>
      </c>
      <c r="L1" s="16" t="s">
        <v>264</v>
      </c>
      <c r="M1" s="16" t="s">
        <v>265</v>
      </c>
    </row>
    <row r="2" spans="1:13" x14ac:dyDescent="0.25">
      <c r="A2" s="17" t="s">
        <v>87</v>
      </c>
      <c r="B2" s="17" t="s">
        <v>266</v>
      </c>
      <c r="C2" s="9">
        <f>COUNTIFS(Units!$B$2:$B$108,$A2,Units!$D$2:$D$108,"Player")</f>
        <v>5</v>
      </c>
      <c r="D2" s="9">
        <f>COUNTIFS(Units!$B$2:$B$108,$A2,Units!$D$2:$D$108,"&lt;&gt;Player")</f>
        <v>6</v>
      </c>
      <c r="E2" s="14">
        <f>AVERAGEIFS(Units!$U$2:$U$108,Units!$B$2:$B$108,$A2,Units!$D$2:$D$108,"Player")</f>
        <v>11.8</v>
      </c>
      <c r="F2" s="14">
        <f>AVERAGEIFS(Units!$U$2:$U$108,Units!$B$2:$B$108,$A2,Units!$D$2:$D$108,"&lt;&gt;Player")</f>
        <v>10.833333333333334</v>
      </c>
      <c r="G2" s="10">
        <f>SUMIFS(Units!$O$2:$O$108,Units!$B$2:$B$108,$A2,Units!$D$2:$D$108,"Player")</f>
        <v>777</v>
      </c>
      <c r="H2" s="10">
        <f>SUMIFS(Units!$O$2:$O$108,Units!$B$2:$B$108,$A2,Units!$D$2:$D$108,"&lt;&gt;Player")</f>
        <v>600</v>
      </c>
      <c r="I2" s="14">
        <f>SUMIFS(Units!$Y$2:$Y$108,Units!$B$2:$B$108,$A2,Units!$D$2:$D$108,"Player")</f>
        <v>149.35700000000003</v>
      </c>
      <c r="J2" s="14">
        <f>SUMIFS(Units!$Y$2:$Y$108,Units!$B$2:$B$108,$A2,Units!$D$2:$D$108,"&lt;&gt;Player")</f>
        <v>109.70400000000001</v>
      </c>
      <c r="K2" s="10">
        <f>D2*Constants!$C$2-H2</f>
        <v>600</v>
      </c>
      <c r="L2" s="14">
        <f t="shared" ref="L2:L8" si="0">IF(I2&gt;0,K2/I2,"-")</f>
        <v>4.0172204851463267</v>
      </c>
      <c r="M2" s="14">
        <f t="shared" ref="M2:M8" si="1">IF(J2&gt;0,G2/J2,"-")</f>
        <v>7.0826952526799385</v>
      </c>
    </row>
    <row r="3" spans="1:13" x14ac:dyDescent="0.25">
      <c r="A3" s="17" t="s">
        <v>113</v>
      </c>
      <c r="B3" s="17" t="s">
        <v>267</v>
      </c>
      <c r="C3" s="9">
        <f>COUNTIFS(Units!$B$2:$B$108,$A3,Units!$D$2:$D$108,"Player")</f>
        <v>5</v>
      </c>
      <c r="D3" s="9">
        <f>COUNTIFS(Units!$B$2:$B$108,$A3,Units!$D$2:$D$108,"&lt;&gt;Player")</f>
        <v>6</v>
      </c>
      <c r="E3" s="14">
        <f>AVERAGEIFS(Units!$U$2:$U$108,Units!$B$2:$B$108,$A3,Units!$D$2:$D$108,"Player")</f>
        <v>12.4</v>
      </c>
      <c r="F3" s="14">
        <f>AVERAGEIFS(Units!$U$2:$U$108,Units!$B$2:$B$108,$A3,Units!$D$2:$D$108,"&lt;&gt;Player")</f>
        <v>10.333333333333334</v>
      </c>
      <c r="G3" s="10">
        <f>SUMIFS(Units!$O$2:$O$108,Units!$B$2:$B$108,$A3,Units!$D$2:$D$108,"Player")</f>
        <v>632</v>
      </c>
      <c r="H3" s="10">
        <f>SUMIFS(Units!$O$2:$O$108,Units!$B$2:$B$108,$A3,Units!$D$2:$D$108,"&lt;&gt;Player")</f>
        <v>600</v>
      </c>
      <c r="I3" s="14">
        <f>SUMIFS(Units!$Y$2:$Y$108,Units!$B$2:$B$108,$A3,Units!$D$2:$D$108,"Player")</f>
        <v>135.45800000000003</v>
      </c>
      <c r="J3" s="14">
        <f>SUMIFS(Units!$Y$2:$Y$108,Units!$B$2:$B$108,$A3,Units!$D$2:$D$108,"&lt;&gt;Player")</f>
        <v>104.122</v>
      </c>
      <c r="K3" s="10">
        <f>D3*Constants!$C$2-H3</f>
        <v>600</v>
      </c>
      <c r="L3" s="14">
        <f t="shared" si="0"/>
        <v>4.4294172363389377</v>
      </c>
      <c r="M3" s="14">
        <f t="shared" si="1"/>
        <v>6.0698027314112295</v>
      </c>
    </row>
    <row r="4" spans="1:13" x14ac:dyDescent="0.25">
      <c r="A4" s="17" t="s">
        <v>136</v>
      </c>
      <c r="B4" s="17" t="s">
        <v>268</v>
      </c>
      <c r="C4" s="9">
        <f>COUNTIFS(Units!$B$2:$B$108,$A4,Units!$D$2:$D$108,"Player")</f>
        <v>12</v>
      </c>
      <c r="D4" s="9">
        <f>COUNTIFS(Units!$B$2:$B$108,$A4,Units!$D$2:$D$108,"&lt;&gt;Player")</f>
        <v>3</v>
      </c>
      <c r="E4" s="14">
        <f>AVERAGEIFS(Units!$U$2:$U$108,Units!$B$2:$B$108,$A4,Units!$D$2:$D$108,"Player")</f>
        <v>11.416666666666666</v>
      </c>
      <c r="F4" s="14">
        <f>AVERAGEIFS(Units!$U$2:$U$108,Units!$B$2:$B$108,$A4,Units!$D$2:$D$108,"&lt;&gt;Player")</f>
        <v>10.333333333333334</v>
      </c>
      <c r="G4" s="10">
        <f>SUMIFS(Units!$O$2:$O$108,Units!$B$2:$B$108,$A4,Units!$D$2:$D$108,"Player")</f>
        <v>1526</v>
      </c>
      <c r="H4" s="10">
        <f>SUMIFS(Units!$O$2:$O$108,Units!$B$2:$B$108,$A4,Units!$D$2:$D$108,"&lt;&gt;Player")</f>
        <v>300</v>
      </c>
      <c r="I4" s="14">
        <f>SUMIFS(Units!$Y$2:$Y$108,Units!$B$2:$B$108,$A4,Units!$D$2:$D$108,"Player")</f>
        <v>306.24400000000009</v>
      </c>
      <c r="J4" s="14">
        <f>SUMIFS(Units!$Y$2:$Y$108,Units!$B$2:$B$108,$A4,Units!$D$2:$D$108,"&lt;&gt;Player")</f>
        <v>52.910000000000011</v>
      </c>
      <c r="K4" s="10">
        <f>D4*Constants!$C$2-H4</f>
        <v>300</v>
      </c>
      <c r="L4" s="14">
        <f t="shared" si="0"/>
        <v>0.97961102911403952</v>
      </c>
      <c r="M4" s="14">
        <f t="shared" si="1"/>
        <v>28.841428841428836</v>
      </c>
    </row>
    <row r="5" spans="1:13" x14ac:dyDescent="0.25">
      <c r="A5" s="17" t="s">
        <v>145</v>
      </c>
      <c r="B5" s="17" t="s">
        <v>269</v>
      </c>
      <c r="C5" s="9">
        <f>COUNTIFS(Units!$B$2:$B$108,$A5,Units!$D$2:$D$108,"Player")</f>
        <v>12</v>
      </c>
      <c r="D5" s="9">
        <f>COUNTIFS(Units!$B$2:$B$108,$A5,Units!$D$2:$D$108,"&lt;&gt;Player")</f>
        <v>4</v>
      </c>
      <c r="E5" s="14">
        <f>AVERAGEIFS(Units!$U$2:$U$108,Units!$B$2:$B$108,$A5,Units!$D$2:$D$108,"Player")</f>
        <v>11.416666666666666</v>
      </c>
      <c r="F5" s="14">
        <f>AVERAGEIFS(Units!$U$2:$U$108,Units!$B$2:$B$108,$A5,Units!$D$2:$D$108,"&lt;&gt;Player")</f>
        <v>10.25</v>
      </c>
      <c r="G5" s="10">
        <f>SUMIFS(Units!$O$2:$O$108,Units!$B$2:$B$108,$A5,Units!$D$2:$D$108,"Player")</f>
        <v>1526</v>
      </c>
      <c r="H5" s="10">
        <f>SUMIFS(Units!$O$2:$O$108,Units!$B$2:$B$108,$A5,Units!$D$2:$D$108,"&lt;&gt;Player")</f>
        <v>400</v>
      </c>
      <c r="I5" s="14">
        <f>SUMIFS(Units!$Y$2:$Y$108,Units!$B$2:$B$108,$A5,Units!$D$2:$D$108,"Player")</f>
        <v>306.24400000000009</v>
      </c>
      <c r="J5" s="14">
        <f>SUMIFS(Units!$Y$2:$Y$108,Units!$B$2:$B$108,$A5,Units!$D$2:$D$108,"&lt;&gt;Player")</f>
        <v>72.323999999999998</v>
      </c>
      <c r="K5" s="10">
        <f>D5*Constants!$C$2-H5</f>
        <v>400</v>
      </c>
      <c r="L5" s="14">
        <f t="shared" si="0"/>
        <v>1.3061480388187194</v>
      </c>
      <c r="M5" s="14">
        <f t="shared" si="1"/>
        <v>21.099496709252808</v>
      </c>
    </row>
    <row r="6" spans="1:13" x14ac:dyDescent="0.25">
      <c r="A6" s="17" t="s">
        <v>147</v>
      </c>
      <c r="B6" s="17" t="s">
        <v>270</v>
      </c>
      <c r="C6" s="9">
        <f>COUNTIFS(Units!$B$2:$B$108,$A6,Units!$D$2:$D$108,"Player")</f>
        <v>12</v>
      </c>
      <c r="D6" s="9">
        <f>COUNTIFS(Units!$B$2:$B$108,$A6,Units!$D$2:$D$108,"&lt;&gt;Player")</f>
        <v>4</v>
      </c>
      <c r="E6" s="14">
        <f>AVERAGEIFS(Units!$U$2:$U$108,Units!$B$2:$B$108,$A6,Units!$D$2:$D$108,"Player")</f>
        <v>11.416666666666666</v>
      </c>
      <c r="F6" s="14">
        <f>AVERAGEIFS(Units!$U$2:$U$108,Units!$B$2:$B$108,$A6,Units!$D$2:$D$108,"&lt;&gt;Player")</f>
        <v>10.25</v>
      </c>
      <c r="G6" s="10">
        <f>SUMIFS(Units!$O$2:$O$108,Units!$B$2:$B$108,$A6,Units!$D$2:$D$108,"Player")</f>
        <v>1526</v>
      </c>
      <c r="H6" s="10">
        <f>SUMIFS(Units!$O$2:$O$108,Units!$B$2:$B$108,$A6,Units!$D$2:$D$108,"&lt;&gt;Player")</f>
        <v>400</v>
      </c>
      <c r="I6" s="14">
        <f>SUMIFS(Units!$Y$2:$Y$108,Units!$B$2:$B$108,$A6,Units!$D$2:$D$108,"Player")</f>
        <v>306.24400000000009</v>
      </c>
      <c r="J6" s="14">
        <f>SUMIFS(Units!$Y$2:$Y$108,Units!$B$2:$B$108,$A6,Units!$D$2:$D$108,"&lt;&gt;Player")</f>
        <v>73.614000000000004</v>
      </c>
      <c r="K6" s="10">
        <f>D6*Constants!$C$2-H6</f>
        <v>400</v>
      </c>
      <c r="L6" s="14">
        <f t="shared" si="0"/>
        <v>1.3061480388187194</v>
      </c>
      <c r="M6" s="14">
        <f t="shared" si="1"/>
        <v>20.729752492732359</v>
      </c>
    </row>
    <row r="7" spans="1:13" x14ac:dyDescent="0.25">
      <c r="A7" s="17" t="s">
        <v>148</v>
      </c>
      <c r="B7" s="17" t="s">
        <v>271</v>
      </c>
      <c r="C7" s="9">
        <f>COUNTIFS(Units!$B$2:$B$108,$A7,Units!$D$2:$D$108,"Player")</f>
        <v>12</v>
      </c>
      <c r="D7" s="9">
        <f>COUNTIFS(Units!$B$2:$B$108,$A7,Units!$D$2:$D$108,"&lt;&gt;Player")</f>
        <v>7</v>
      </c>
      <c r="E7" s="14">
        <f>AVERAGEIFS(Units!$U$2:$U$108,Units!$B$2:$B$108,$A7,Units!$D$2:$D$108,"Player")</f>
        <v>11.416666666666666</v>
      </c>
      <c r="F7" s="14">
        <f>AVERAGEIFS(Units!$U$2:$U$108,Units!$B$2:$B$108,$A7,Units!$D$2:$D$108,"&lt;&gt;Player")</f>
        <v>11.571428571428571</v>
      </c>
      <c r="G7" s="10">
        <f>SUMIFS(Units!$O$2:$O$108,Units!$B$2:$B$108,$A7,Units!$D$2:$D$108,"Player")</f>
        <v>1526</v>
      </c>
      <c r="H7" s="10">
        <f>SUMIFS(Units!$O$2:$O$108,Units!$B$2:$B$108,$A7,Units!$D$2:$D$108,"&lt;&gt;Player")</f>
        <v>700</v>
      </c>
      <c r="I7" s="14">
        <f>SUMIFS(Units!$Y$2:$Y$108,Units!$B$2:$B$108,$A7,Units!$D$2:$D$108,"Player")</f>
        <v>306.24400000000009</v>
      </c>
      <c r="J7" s="14">
        <f>SUMIFS(Units!$Y$2:$Y$108,Units!$B$2:$B$108,$A7,Units!$D$2:$D$108,"&lt;&gt;Player")</f>
        <v>130.00000000000003</v>
      </c>
      <c r="K7" s="10">
        <f>D7*Constants!$C$2-H7</f>
        <v>700</v>
      </c>
      <c r="L7" s="14">
        <f t="shared" si="0"/>
        <v>2.2857590679327591</v>
      </c>
      <c r="M7" s="14">
        <f t="shared" si="1"/>
        <v>11.738461538461536</v>
      </c>
    </row>
    <row r="8" spans="1:13" x14ac:dyDescent="0.25">
      <c r="A8" s="17" t="s">
        <v>152</v>
      </c>
      <c r="B8" s="17" t="s">
        <v>272</v>
      </c>
      <c r="C8" s="9">
        <f>COUNTIFS(Units!$B$2:$B$108,$A8,Units!$D$2:$D$108,"Player")</f>
        <v>12</v>
      </c>
      <c r="D8" s="9">
        <f>COUNTIFS(Units!$B$2:$B$108,$A8,Units!$D$2:$D$108,"&lt;&gt;Player")</f>
        <v>7</v>
      </c>
      <c r="E8" s="14">
        <f>AVERAGEIFS(Units!$U$2:$U$108,Units!$B$2:$B$108,$A8,Units!$D$2:$D$108,"Player")</f>
        <v>11.416666666666666</v>
      </c>
      <c r="F8" s="14">
        <f>AVERAGEIFS(Units!$U$2:$U$108,Units!$B$2:$B$108,$A8,Units!$D$2:$D$108,"&lt;&gt;Player")</f>
        <v>11.571428571428571</v>
      </c>
      <c r="G8" s="10">
        <f>SUMIFS(Units!$O$2:$O$108,Units!$B$2:$B$108,$A8,Units!$D$2:$D$108,"Player")</f>
        <v>1526</v>
      </c>
      <c r="H8" s="10">
        <f>SUMIFS(Units!$O$2:$O$108,Units!$B$2:$B$108,$A8,Units!$D$2:$D$108,"&lt;&gt;Player")</f>
        <v>700</v>
      </c>
      <c r="I8" s="14">
        <f>SUMIFS(Units!$Y$2:$Y$108,Units!$B$2:$B$108,$A8,Units!$D$2:$D$108,"Player")</f>
        <v>306.24400000000009</v>
      </c>
      <c r="J8" s="14">
        <f>SUMIFS(Units!$Y$2:$Y$108,Units!$B$2:$B$108,$A8,Units!$D$2:$D$108,"&lt;&gt;Player")</f>
        <v>149.34800000000001</v>
      </c>
      <c r="K8" s="10">
        <f>D8*Constants!$C$2-H8</f>
        <v>700</v>
      </c>
      <c r="L8" s="14">
        <f t="shared" si="0"/>
        <v>2.2857590679327591</v>
      </c>
      <c r="M8" s="14">
        <f t="shared" si="1"/>
        <v>10.217746471328708</v>
      </c>
    </row>
    <row r="10" spans="1:13" x14ac:dyDescent="0.25">
      <c r="A10" s="3" t="s">
        <v>273</v>
      </c>
    </row>
    <row r="11" spans="1:13" x14ac:dyDescent="0.25">
      <c r="A11" s="6" t="s">
        <v>274</v>
      </c>
    </row>
    <row r="12" spans="1:13" x14ac:dyDescent="0.25">
      <c r="A12" s="6" t="s">
        <v>275</v>
      </c>
    </row>
    <row r="13" spans="1:13" x14ac:dyDescent="0.25">
      <c r="A13" s="6" t="s">
        <v>276</v>
      </c>
    </row>
    <row r="14" spans="1:13" x14ac:dyDescent="0.25">
      <c r="A14" s="6" t="s">
        <v>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32" customWidth="1"/>
    <col min="3" max="3" width="11" customWidth="1"/>
    <col min="4" max="4" width="70" customWidth="1"/>
    <col min="5" max="5" width="52" customWidth="1"/>
  </cols>
  <sheetData>
    <row r="1" spans="1:5" ht="62.1" customHeight="1" x14ac:dyDescent="0.25">
      <c r="A1" s="16" t="s">
        <v>278</v>
      </c>
      <c r="B1" s="16" t="s">
        <v>279</v>
      </c>
      <c r="C1" s="16" t="s">
        <v>280</v>
      </c>
      <c r="D1" s="16" t="s">
        <v>281</v>
      </c>
      <c r="E1" s="16" t="s">
        <v>282</v>
      </c>
    </row>
    <row r="2" spans="1:5" x14ac:dyDescent="0.25">
      <c r="A2" s="9" t="s">
        <v>71</v>
      </c>
      <c r="B2" s="7" t="s">
        <v>283</v>
      </c>
      <c r="C2" s="18">
        <v>200</v>
      </c>
      <c r="D2" s="9" t="s">
        <v>284</v>
      </c>
      <c r="E2" s="9" t="s">
        <v>285</v>
      </c>
    </row>
    <row r="3" spans="1:5" x14ac:dyDescent="0.25">
      <c r="A3" s="9" t="s">
        <v>71</v>
      </c>
      <c r="B3" s="7" t="s">
        <v>286</v>
      </c>
      <c r="C3" s="19">
        <v>0.2</v>
      </c>
      <c r="D3" s="9" t="s">
        <v>287</v>
      </c>
      <c r="E3" s="9" t="s">
        <v>288</v>
      </c>
    </row>
    <row r="4" spans="1:5" x14ac:dyDescent="0.25">
      <c r="A4" s="9" t="s">
        <v>71</v>
      </c>
      <c r="B4" s="7" t="s">
        <v>289</v>
      </c>
      <c r="C4" s="19">
        <v>1.5</v>
      </c>
      <c r="D4" s="9" t="s">
        <v>290</v>
      </c>
      <c r="E4" s="9" t="s">
        <v>291</v>
      </c>
    </row>
    <row r="5" spans="1:5" x14ac:dyDescent="0.25">
      <c r="A5" s="9" t="s">
        <v>71</v>
      </c>
      <c r="B5" s="7" t="s">
        <v>292</v>
      </c>
      <c r="C5" s="20">
        <v>0.55000000000000004</v>
      </c>
      <c r="D5" s="9" t="s">
        <v>293</v>
      </c>
      <c r="E5" s="9" t="s">
        <v>294</v>
      </c>
    </row>
    <row r="6" spans="1:5" x14ac:dyDescent="0.25">
      <c r="A6" s="9" t="s">
        <v>71</v>
      </c>
      <c r="B6" s="7" t="s">
        <v>295</v>
      </c>
      <c r="C6" s="21">
        <v>0.01</v>
      </c>
      <c r="D6" s="9" t="s">
        <v>296</v>
      </c>
      <c r="E6" s="9" t="s">
        <v>297</v>
      </c>
    </row>
    <row r="7" spans="1:5" x14ac:dyDescent="0.25">
      <c r="A7" s="9" t="s">
        <v>71</v>
      </c>
      <c r="B7" s="7" t="s">
        <v>298</v>
      </c>
      <c r="C7" s="20">
        <v>0.5</v>
      </c>
      <c r="D7" s="9" t="s">
        <v>299</v>
      </c>
      <c r="E7" s="9" t="s">
        <v>300</v>
      </c>
    </row>
    <row r="8" spans="1:5" x14ac:dyDescent="0.25">
      <c r="A8" s="9" t="s">
        <v>71</v>
      </c>
      <c r="B8" s="7" t="s">
        <v>301</v>
      </c>
      <c r="C8" s="20">
        <v>0.98</v>
      </c>
      <c r="D8" s="9" t="s">
        <v>302</v>
      </c>
      <c r="E8" s="9" t="s">
        <v>303</v>
      </c>
    </row>
    <row r="9" spans="1:5" x14ac:dyDescent="0.25">
      <c r="A9" s="9" t="s">
        <v>71</v>
      </c>
      <c r="B9" s="7" t="s">
        <v>304</v>
      </c>
      <c r="C9" s="20">
        <v>0.01</v>
      </c>
      <c r="D9" s="9" t="s">
        <v>305</v>
      </c>
      <c r="E9" s="9" t="s">
        <v>306</v>
      </c>
    </row>
    <row r="10" spans="1:5" x14ac:dyDescent="0.25">
      <c r="A10" s="9" t="s">
        <v>71</v>
      </c>
      <c r="B10" s="7" t="s">
        <v>307</v>
      </c>
      <c r="C10" s="18">
        <v>100</v>
      </c>
      <c r="D10" s="9" t="s">
        <v>308</v>
      </c>
      <c r="E10" s="9" t="s">
        <v>309</v>
      </c>
    </row>
    <row r="11" spans="1:5" x14ac:dyDescent="0.25">
      <c r="A11" s="9" t="s">
        <v>310</v>
      </c>
      <c r="B11" s="7" t="s">
        <v>311</v>
      </c>
      <c r="C11" s="18">
        <v>3</v>
      </c>
      <c r="D11" s="9" t="s">
        <v>312</v>
      </c>
      <c r="E11" s="9" t="s">
        <v>313</v>
      </c>
    </row>
    <row r="12" spans="1:5" x14ac:dyDescent="0.25">
      <c r="A12" s="9" t="s">
        <v>310</v>
      </c>
      <c r="B12" s="7" t="s">
        <v>314</v>
      </c>
      <c r="C12" s="18">
        <v>30</v>
      </c>
      <c r="D12" s="9" t="s">
        <v>315</v>
      </c>
      <c r="E12" s="9" t="s">
        <v>316</v>
      </c>
    </row>
    <row r="13" spans="1:5" x14ac:dyDescent="0.25">
      <c r="A13" s="9" t="s">
        <v>241</v>
      </c>
      <c r="B13" s="7" t="s">
        <v>317</v>
      </c>
      <c r="C13" s="20">
        <v>0.85</v>
      </c>
      <c r="D13" s="9" t="s">
        <v>318</v>
      </c>
      <c r="E13" s="9" t="s">
        <v>319</v>
      </c>
    </row>
    <row r="14" spans="1:5" x14ac:dyDescent="0.25">
      <c r="A14" s="9" t="s">
        <v>241</v>
      </c>
      <c r="B14" s="7" t="s">
        <v>320</v>
      </c>
      <c r="C14" s="20">
        <v>0.08</v>
      </c>
      <c r="D14" s="9" t="s">
        <v>321</v>
      </c>
      <c r="E14" s="9" t="s">
        <v>322</v>
      </c>
    </row>
    <row r="15" spans="1:5" x14ac:dyDescent="0.25">
      <c r="A15" s="9" t="s">
        <v>241</v>
      </c>
      <c r="B15" s="7" t="s">
        <v>323</v>
      </c>
      <c r="C15" s="20">
        <v>0.5</v>
      </c>
      <c r="D15" s="9" t="s">
        <v>324</v>
      </c>
      <c r="E15" s="9" t="s">
        <v>325</v>
      </c>
    </row>
    <row r="16" spans="1:5" x14ac:dyDescent="0.25">
      <c r="A16" s="9" t="s">
        <v>241</v>
      </c>
      <c r="B16" s="7" t="s">
        <v>326</v>
      </c>
      <c r="C16" s="20">
        <v>0.98</v>
      </c>
      <c r="D16" s="9" t="s">
        <v>327</v>
      </c>
      <c r="E16" s="9" t="s">
        <v>328</v>
      </c>
    </row>
    <row r="17" spans="1:5" x14ac:dyDescent="0.25">
      <c r="A17" s="9" t="s">
        <v>241</v>
      </c>
      <c r="B17" s="7" t="s">
        <v>329</v>
      </c>
      <c r="C17" s="21">
        <v>2E-3</v>
      </c>
      <c r="D17" s="9" t="s">
        <v>330</v>
      </c>
      <c r="E17" s="9" t="s">
        <v>331</v>
      </c>
    </row>
    <row r="18" spans="1:5" x14ac:dyDescent="0.25">
      <c r="A18" s="9" t="s">
        <v>241</v>
      </c>
      <c r="B18" s="7" t="s">
        <v>332</v>
      </c>
      <c r="C18" s="20">
        <v>0.05</v>
      </c>
      <c r="D18" s="9" t="s">
        <v>333</v>
      </c>
      <c r="E18" s="9" t="s">
        <v>334</v>
      </c>
    </row>
    <row r="19" spans="1:5" x14ac:dyDescent="0.25">
      <c r="A19" s="9" t="s">
        <v>241</v>
      </c>
      <c r="B19" s="7" t="s">
        <v>335</v>
      </c>
      <c r="C19" s="20">
        <v>0.15</v>
      </c>
      <c r="D19" s="9" t="s">
        <v>336</v>
      </c>
      <c r="E19" s="9" t="s">
        <v>337</v>
      </c>
    </row>
    <row r="20" spans="1:5" x14ac:dyDescent="0.25">
      <c r="A20" s="9" t="s">
        <v>241</v>
      </c>
      <c r="B20" s="7" t="s">
        <v>338</v>
      </c>
      <c r="C20" s="20">
        <v>0.1</v>
      </c>
      <c r="D20" s="9" t="s">
        <v>339</v>
      </c>
      <c r="E20" s="9" t="s">
        <v>340</v>
      </c>
    </row>
    <row r="21" spans="1:5" x14ac:dyDescent="0.25">
      <c r="A21" s="9" t="s">
        <v>241</v>
      </c>
      <c r="B21" s="7" t="s">
        <v>341</v>
      </c>
      <c r="C21" s="18">
        <v>2</v>
      </c>
      <c r="D21" s="9" t="s">
        <v>342</v>
      </c>
      <c r="E21" s="9" t="s">
        <v>343</v>
      </c>
    </row>
    <row r="22" spans="1:5" x14ac:dyDescent="0.25">
      <c r="A22" s="9" t="s">
        <v>241</v>
      </c>
      <c r="B22" s="7" t="s">
        <v>344</v>
      </c>
      <c r="C22" s="18">
        <v>2</v>
      </c>
      <c r="D22" s="9" t="s">
        <v>345</v>
      </c>
      <c r="E22" s="9" t="s">
        <v>346</v>
      </c>
    </row>
    <row r="23" spans="1:5" x14ac:dyDescent="0.25">
      <c r="A23" s="9" t="s">
        <v>250</v>
      </c>
      <c r="B23" s="7" t="s">
        <v>347</v>
      </c>
      <c r="C23" s="21">
        <v>4.0000000000000001E-3</v>
      </c>
      <c r="D23" s="9" t="s">
        <v>348</v>
      </c>
      <c r="E23" s="9" t="s">
        <v>349</v>
      </c>
    </row>
    <row r="24" spans="1:5" x14ac:dyDescent="0.25">
      <c r="A24" s="9" t="s">
        <v>250</v>
      </c>
      <c r="B24" s="7" t="s">
        <v>350</v>
      </c>
      <c r="C24" s="20">
        <v>0.6</v>
      </c>
      <c r="D24" s="9" t="s">
        <v>351</v>
      </c>
      <c r="E24" s="9" t="s">
        <v>352</v>
      </c>
    </row>
    <row r="25" spans="1:5" x14ac:dyDescent="0.25">
      <c r="A25" s="9" t="s">
        <v>250</v>
      </c>
      <c r="B25" s="7" t="s">
        <v>353</v>
      </c>
      <c r="C25" s="20">
        <v>0.5</v>
      </c>
      <c r="D25" s="9" t="s">
        <v>354</v>
      </c>
      <c r="E25" s="9" t="s">
        <v>355</v>
      </c>
    </row>
    <row r="26" spans="1:5" x14ac:dyDescent="0.25">
      <c r="A26" s="9" t="s">
        <v>250</v>
      </c>
      <c r="B26" s="7" t="s">
        <v>356</v>
      </c>
      <c r="C26" s="18">
        <v>2</v>
      </c>
      <c r="D26" s="9" t="s">
        <v>357</v>
      </c>
      <c r="E26" s="9" t="s">
        <v>358</v>
      </c>
    </row>
    <row r="27" spans="1:5" x14ac:dyDescent="0.25">
      <c r="A27" s="9" t="s">
        <v>250</v>
      </c>
      <c r="B27" s="7" t="s">
        <v>359</v>
      </c>
      <c r="C27" s="18">
        <v>2</v>
      </c>
      <c r="D27" s="9" t="s">
        <v>360</v>
      </c>
      <c r="E27" s="9" t="s">
        <v>361</v>
      </c>
    </row>
    <row r="28" spans="1:5" x14ac:dyDescent="0.25">
      <c r="A28" s="9" t="s">
        <v>250</v>
      </c>
      <c r="B28" s="7" t="s">
        <v>362</v>
      </c>
      <c r="C28" s="18">
        <v>40</v>
      </c>
      <c r="D28" s="9" t="s">
        <v>363</v>
      </c>
      <c r="E28" s="9" t="s">
        <v>364</v>
      </c>
    </row>
    <row r="29" spans="1:5" x14ac:dyDescent="0.25">
      <c r="A29" s="9" t="s">
        <v>245</v>
      </c>
      <c r="B29" s="7" t="s">
        <v>365</v>
      </c>
      <c r="C29" s="18">
        <v>50</v>
      </c>
      <c r="D29" s="9" t="s">
        <v>366</v>
      </c>
      <c r="E29" s="9" t="s">
        <v>367</v>
      </c>
    </row>
    <row r="30" spans="1:5" x14ac:dyDescent="0.25">
      <c r="A30" s="9" t="s">
        <v>245</v>
      </c>
      <c r="B30" s="7" t="s">
        <v>368</v>
      </c>
      <c r="C30" s="18">
        <v>2</v>
      </c>
      <c r="D30" s="9" t="s">
        <v>369</v>
      </c>
      <c r="E30" s="9" t="s">
        <v>370</v>
      </c>
    </row>
    <row r="31" spans="1:5" x14ac:dyDescent="0.25">
      <c r="A31" s="9" t="s">
        <v>245</v>
      </c>
      <c r="B31" s="7" t="s">
        <v>371</v>
      </c>
      <c r="C31" s="18">
        <v>3</v>
      </c>
      <c r="D31" s="9" t="s">
        <v>372</v>
      </c>
      <c r="E31" s="9" t="s">
        <v>373</v>
      </c>
    </row>
    <row r="32" spans="1:5" x14ac:dyDescent="0.25">
      <c r="A32" s="9" t="s">
        <v>245</v>
      </c>
      <c r="B32" s="7" t="s">
        <v>374</v>
      </c>
      <c r="C32" s="18">
        <v>20</v>
      </c>
      <c r="D32" s="9" t="s">
        <v>375</v>
      </c>
      <c r="E32" s="9" t="s">
        <v>376</v>
      </c>
    </row>
    <row r="33" spans="1:5" x14ac:dyDescent="0.25">
      <c r="A33" s="9" t="s">
        <v>245</v>
      </c>
      <c r="B33" s="7" t="s">
        <v>377</v>
      </c>
      <c r="C33" s="18">
        <v>100</v>
      </c>
      <c r="D33" s="9" t="s">
        <v>378</v>
      </c>
      <c r="E33" s="9" t="s">
        <v>379</v>
      </c>
    </row>
    <row r="34" spans="1:5" x14ac:dyDescent="0.25">
      <c r="A34" s="9" t="s">
        <v>380</v>
      </c>
      <c r="B34" s="7" t="s">
        <v>381</v>
      </c>
      <c r="C34" s="20">
        <v>0.05</v>
      </c>
      <c r="D34" s="9" t="s">
        <v>382</v>
      </c>
      <c r="E34" s="9" t="s">
        <v>383</v>
      </c>
    </row>
    <row r="35" spans="1:5" x14ac:dyDescent="0.25">
      <c r="A35" s="9" t="s">
        <v>380</v>
      </c>
      <c r="B35" s="7" t="s">
        <v>384</v>
      </c>
      <c r="C35" s="21">
        <v>4.0000000000000001E-3</v>
      </c>
      <c r="D35" s="9" t="s">
        <v>385</v>
      </c>
      <c r="E35" s="9" t="s">
        <v>386</v>
      </c>
    </row>
    <row r="36" spans="1:5" x14ac:dyDescent="0.25">
      <c r="A36" s="9" t="s">
        <v>380</v>
      </c>
      <c r="B36" s="7" t="s">
        <v>387</v>
      </c>
      <c r="C36" s="20">
        <v>0.35</v>
      </c>
      <c r="D36" s="9" t="s">
        <v>388</v>
      </c>
      <c r="E36" s="9" t="s">
        <v>389</v>
      </c>
    </row>
    <row r="37" spans="1:5" x14ac:dyDescent="0.25">
      <c r="A37" s="9" t="s">
        <v>380</v>
      </c>
      <c r="B37" s="7" t="s">
        <v>390</v>
      </c>
      <c r="C37" s="18">
        <v>5</v>
      </c>
      <c r="D37" s="9" t="s">
        <v>391</v>
      </c>
      <c r="E37" s="9" t="s">
        <v>392</v>
      </c>
    </row>
    <row r="38" spans="1:5" x14ac:dyDescent="0.25">
      <c r="A38" s="9" t="s">
        <v>380</v>
      </c>
      <c r="B38" s="7" t="s">
        <v>393</v>
      </c>
      <c r="C38" s="18">
        <v>1</v>
      </c>
      <c r="D38" s="9" t="s">
        <v>394</v>
      </c>
      <c r="E38" s="9" t="s">
        <v>395</v>
      </c>
    </row>
    <row r="39" spans="1:5" x14ac:dyDescent="0.25">
      <c r="A39" s="9" t="s">
        <v>380</v>
      </c>
      <c r="B39" s="7" t="s">
        <v>396</v>
      </c>
      <c r="C39" s="18">
        <v>5</v>
      </c>
      <c r="D39" s="9" t="s">
        <v>397</v>
      </c>
      <c r="E39" s="9" t="s">
        <v>398</v>
      </c>
    </row>
    <row r="40" spans="1:5" x14ac:dyDescent="0.25">
      <c r="A40" s="9" t="s">
        <v>399</v>
      </c>
      <c r="B40" s="7" t="s">
        <v>400</v>
      </c>
      <c r="C40" s="20">
        <v>0.6</v>
      </c>
      <c r="D40" s="9" t="s">
        <v>401</v>
      </c>
      <c r="E40" s="9" t="s">
        <v>402</v>
      </c>
    </row>
    <row r="41" spans="1:5" x14ac:dyDescent="0.25">
      <c r="A41" s="9" t="s">
        <v>399</v>
      </c>
      <c r="B41" s="7" t="s">
        <v>403</v>
      </c>
      <c r="C41" s="18">
        <v>150</v>
      </c>
      <c r="D41" s="9" t="s">
        <v>404</v>
      </c>
      <c r="E41" s="9" t="s">
        <v>405</v>
      </c>
    </row>
    <row r="42" spans="1:5" x14ac:dyDescent="0.25">
      <c r="A42" s="9" t="s">
        <v>253</v>
      </c>
      <c r="B42" s="7" t="s">
        <v>406</v>
      </c>
      <c r="C42" s="18">
        <v>10</v>
      </c>
      <c r="D42" s="9" t="s">
        <v>407</v>
      </c>
      <c r="E42" s="9" t="s">
        <v>408</v>
      </c>
    </row>
    <row r="43" spans="1:5" x14ac:dyDescent="0.25">
      <c r="A43" s="9" t="s">
        <v>253</v>
      </c>
      <c r="B43" s="7" t="s">
        <v>409</v>
      </c>
      <c r="C43" s="18">
        <v>1</v>
      </c>
      <c r="D43" s="9" t="s">
        <v>410</v>
      </c>
      <c r="E43" s="9" t="s">
        <v>411</v>
      </c>
    </row>
    <row r="44" spans="1:5" x14ac:dyDescent="0.25">
      <c r="A44" s="9" t="s">
        <v>253</v>
      </c>
      <c r="B44" s="7" t="s">
        <v>412</v>
      </c>
      <c r="C44" s="18">
        <v>2</v>
      </c>
      <c r="D44" s="9" t="s">
        <v>413</v>
      </c>
      <c r="E44" s="9" t="s">
        <v>414</v>
      </c>
    </row>
    <row r="45" spans="1:5" x14ac:dyDescent="0.25">
      <c r="A45" s="9" t="s">
        <v>415</v>
      </c>
      <c r="B45" s="7" t="s">
        <v>416</v>
      </c>
      <c r="C45" s="18">
        <v>3</v>
      </c>
      <c r="D45" s="9" t="s">
        <v>417</v>
      </c>
      <c r="E45" s="9" t="s">
        <v>418</v>
      </c>
    </row>
    <row r="46" spans="1:5" x14ac:dyDescent="0.25">
      <c r="A46" s="9" t="s">
        <v>419</v>
      </c>
      <c r="B46" s="7" t="s">
        <v>420</v>
      </c>
      <c r="C46" s="18">
        <v>100</v>
      </c>
      <c r="D46" s="9" t="s">
        <v>421</v>
      </c>
      <c r="E46" s="9" t="s">
        <v>422</v>
      </c>
    </row>
    <row r="47" spans="1:5" x14ac:dyDescent="0.25">
      <c r="A47" s="9" t="s">
        <v>423</v>
      </c>
      <c r="B47" s="7" t="s">
        <v>424</v>
      </c>
      <c r="C47" s="18">
        <v>11</v>
      </c>
      <c r="D47" s="9" t="s">
        <v>425</v>
      </c>
      <c r="E47" s="9" t="s">
        <v>426</v>
      </c>
    </row>
    <row r="48" spans="1:5" x14ac:dyDescent="0.25">
      <c r="A48" s="9" t="s">
        <v>423</v>
      </c>
      <c r="B48" s="7" t="s">
        <v>427</v>
      </c>
      <c r="C48" s="18">
        <v>9</v>
      </c>
      <c r="D48" s="9" t="s">
        <v>428</v>
      </c>
      <c r="E48" s="9" t="s">
        <v>429</v>
      </c>
    </row>
    <row r="49" spans="1:5" x14ac:dyDescent="0.25">
      <c r="A49" s="9" t="s">
        <v>423</v>
      </c>
      <c r="B49" s="7" t="s">
        <v>430</v>
      </c>
      <c r="C49" s="18">
        <v>15</v>
      </c>
      <c r="D49" s="9" t="s">
        <v>431</v>
      </c>
      <c r="E49" s="9" t="s">
        <v>432</v>
      </c>
    </row>
    <row r="50" spans="1:5" x14ac:dyDescent="0.25">
      <c r="A50" s="9" t="s">
        <v>423</v>
      </c>
      <c r="B50" s="7" t="s">
        <v>433</v>
      </c>
      <c r="C50" s="18">
        <v>55</v>
      </c>
      <c r="D50" s="9" t="s">
        <v>434</v>
      </c>
      <c r="E50" s="9" t="s">
        <v>435</v>
      </c>
    </row>
    <row r="51" spans="1:5" x14ac:dyDescent="0.25">
      <c r="A51" s="9" t="s">
        <v>423</v>
      </c>
      <c r="B51" s="7" t="s">
        <v>436</v>
      </c>
      <c r="C51" s="18">
        <v>100</v>
      </c>
      <c r="D51" s="9" t="s">
        <v>437</v>
      </c>
      <c r="E51" s="9" t="s">
        <v>438</v>
      </c>
    </row>
    <row r="52" spans="1:5" x14ac:dyDescent="0.25">
      <c r="A52" s="9" t="s">
        <v>423</v>
      </c>
      <c r="B52" s="7" t="s">
        <v>439</v>
      </c>
      <c r="C52" s="18">
        <v>5</v>
      </c>
      <c r="D52" s="9" t="s">
        <v>440</v>
      </c>
      <c r="E52" s="9" t="s">
        <v>441</v>
      </c>
    </row>
    <row r="53" spans="1:5" x14ac:dyDescent="0.25">
      <c r="A53" s="9" t="s">
        <v>442</v>
      </c>
      <c r="B53" s="7" t="s">
        <v>443</v>
      </c>
      <c r="C53" s="18">
        <v>25</v>
      </c>
      <c r="D53" s="9" t="s">
        <v>444</v>
      </c>
      <c r="E53" s="9" t="s">
        <v>445</v>
      </c>
    </row>
    <row r="54" spans="1:5" x14ac:dyDescent="0.25">
      <c r="A54" s="9" t="s">
        <v>442</v>
      </c>
      <c r="B54" s="7" t="s">
        <v>446</v>
      </c>
      <c r="C54" s="18">
        <v>30</v>
      </c>
      <c r="D54" s="9" t="s">
        <v>444</v>
      </c>
      <c r="E54" s="9" t="s">
        <v>447</v>
      </c>
    </row>
    <row r="55" spans="1:5" x14ac:dyDescent="0.25">
      <c r="A55" s="9" t="s">
        <v>442</v>
      </c>
      <c r="B55" s="7" t="s">
        <v>448</v>
      </c>
      <c r="C55" s="18">
        <v>15</v>
      </c>
      <c r="D55" s="9" t="s">
        <v>444</v>
      </c>
      <c r="E55" s="9" t="s">
        <v>449</v>
      </c>
    </row>
    <row r="56" spans="1:5" x14ac:dyDescent="0.25">
      <c r="A56" s="9" t="s">
        <v>442</v>
      </c>
      <c r="B56" s="7" t="s">
        <v>450</v>
      </c>
      <c r="C56" s="20">
        <v>0.6</v>
      </c>
      <c r="D56" s="9" t="s">
        <v>444</v>
      </c>
      <c r="E56" s="9" t="s">
        <v>451</v>
      </c>
    </row>
    <row r="57" spans="1:5" x14ac:dyDescent="0.25">
      <c r="A57" s="9" t="s">
        <v>442</v>
      </c>
      <c r="B57" s="7" t="s">
        <v>452</v>
      </c>
      <c r="C57" s="18">
        <v>30</v>
      </c>
      <c r="D57" s="9" t="s">
        <v>444</v>
      </c>
      <c r="E57" s="9" t="s">
        <v>453</v>
      </c>
    </row>
    <row r="58" spans="1:5" x14ac:dyDescent="0.25">
      <c r="A58" s="9" t="s">
        <v>442</v>
      </c>
      <c r="B58" s="7" t="s">
        <v>454</v>
      </c>
      <c r="C58" s="18">
        <v>30</v>
      </c>
      <c r="D58" s="9" t="s">
        <v>444</v>
      </c>
      <c r="E58" s="9" t="s">
        <v>455</v>
      </c>
    </row>
    <row r="59" spans="1:5" x14ac:dyDescent="0.25">
      <c r="A59" s="9" t="s">
        <v>442</v>
      </c>
      <c r="B59" s="7" t="s">
        <v>456</v>
      </c>
      <c r="C59" s="20">
        <v>0.55000000000000004</v>
      </c>
      <c r="D59" s="9" t="s">
        <v>444</v>
      </c>
      <c r="E59" s="9" t="s">
        <v>457</v>
      </c>
    </row>
    <row r="60" spans="1:5" x14ac:dyDescent="0.25">
      <c r="A60" s="9" t="s">
        <v>442</v>
      </c>
      <c r="B60" s="7" t="s">
        <v>458</v>
      </c>
      <c r="C60" s="18">
        <v>60</v>
      </c>
      <c r="D60" s="9" t="s">
        <v>444</v>
      </c>
      <c r="E60" s="9" t="s">
        <v>459</v>
      </c>
    </row>
    <row r="61" spans="1:5" x14ac:dyDescent="0.25">
      <c r="A61" s="9" t="s">
        <v>442</v>
      </c>
      <c r="B61" s="7" t="s">
        <v>460</v>
      </c>
      <c r="C61" s="18">
        <v>20</v>
      </c>
      <c r="D61" s="9" t="s">
        <v>444</v>
      </c>
      <c r="E61" s="9" t="s">
        <v>461</v>
      </c>
    </row>
    <row r="62" spans="1:5" x14ac:dyDescent="0.25">
      <c r="A62" s="9" t="s">
        <v>442</v>
      </c>
      <c r="B62" s="7" t="s">
        <v>462</v>
      </c>
      <c r="C62" s="18">
        <v>15</v>
      </c>
      <c r="D62" s="9" t="s">
        <v>444</v>
      </c>
      <c r="E62" s="9" t="s">
        <v>463</v>
      </c>
    </row>
    <row r="63" spans="1:5" x14ac:dyDescent="0.25">
      <c r="A63" s="9" t="s">
        <v>442</v>
      </c>
      <c r="B63" s="7" t="s">
        <v>464</v>
      </c>
      <c r="C63" s="18">
        <v>40</v>
      </c>
      <c r="D63" s="9" t="s">
        <v>444</v>
      </c>
      <c r="E63" s="9" t="s">
        <v>465</v>
      </c>
    </row>
    <row r="64" spans="1:5" x14ac:dyDescent="0.25">
      <c r="A64" s="9" t="s">
        <v>442</v>
      </c>
      <c r="B64" s="7" t="s">
        <v>466</v>
      </c>
      <c r="C64" s="18">
        <v>20</v>
      </c>
      <c r="D64" s="9" t="s">
        <v>444</v>
      </c>
      <c r="E64" s="9" t="s">
        <v>467</v>
      </c>
    </row>
    <row r="65" spans="1:5" x14ac:dyDescent="0.25">
      <c r="A65" s="9" t="s">
        <v>442</v>
      </c>
      <c r="B65" s="7" t="s">
        <v>468</v>
      </c>
      <c r="C65" s="18">
        <v>3</v>
      </c>
      <c r="D65" s="9" t="s">
        <v>444</v>
      </c>
      <c r="E65" s="9" t="s">
        <v>469</v>
      </c>
    </row>
  </sheetData>
  <autoFilter ref="A1:E6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4" width="14" customWidth="1"/>
    <col min="5" max="5" width="16" customWidth="1"/>
    <col min="6" max="8" width="18" customWidth="1"/>
  </cols>
  <sheetData>
    <row r="1" spans="1:8" x14ac:dyDescent="0.25">
      <c r="A1" s="7" t="s">
        <v>470</v>
      </c>
      <c r="B1" s="22">
        <v>10</v>
      </c>
    </row>
    <row r="3" spans="1:8" ht="62.1" customHeight="1" x14ac:dyDescent="0.25">
      <c r="A3" s="16" t="s">
        <v>61</v>
      </c>
      <c r="B3" s="16" t="s">
        <v>471</v>
      </c>
      <c r="C3" s="16" t="s">
        <v>472</v>
      </c>
      <c r="D3" s="16" t="s">
        <v>473</v>
      </c>
      <c r="E3" s="16" t="s">
        <v>474</v>
      </c>
      <c r="F3" s="16" t="s">
        <v>475</v>
      </c>
      <c r="G3" s="16" t="s">
        <v>476</v>
      </c>
      <c r="H3" s="16" t="s">
        <v>477</v>
      </c>
    </row>
    <row r="4" spans="1:8" x14ac:dyDescent="0.25">
      <c r="A4" s="7" t="s">
        <v>90</v>
      </c>
      <c r="B4" s="17">
        <v>5</v>
      </c>
      <c r="C4" s="17">
        <v>2</v>
      </c>
      <c r="D4" s="17">
        <v>1</v>
      </c>
      <c r="E4" s="9">
        <f t="shared" ref="E4:E12" si="0">B4*($B$1-1)</f>
        <v>45</v>
      </c>
      <c r="F4" s="9">
        <f t="shared" ref="F4:F12" si="1">C4*($B$1-1)</f>
        <v>18</v>
      </c>
      <c r="G4" s="9">
        <f t="shared" ref="G4:G12" si="2">D4*($B$1-1)</f>
        <v>9</v>
      </c>
      <c r="H4" s="9">
        <f>INT($B$1/Constants!$C$52)</f>
        <v>2</v>
      </c>
    </row>
    <row r="5" spans="1:8" x14ac:dyDescent="0.25">
      <c r="A5" s="7" t="s">
        <v>116</v>
      </c>
      <c r="B5" s="17">
        <v>3</v>
      </c>
      <c r="C5" s="17">
        <v>1</v>
      </c>
      <c r="D5" s="17">
        <v>1</v>
      </c>
      <c r="E5" s="9">
        <f t="shared" si="0"/>
        <v>27</v>
      </c>
      <c r="F5" s="9">
        <f t="shared" si="1"/>
        <v>9</v>
      </c>
      <c r="G5" s="9">
        <f t="shared" si="2"/>
        <v>9</v>
      </c>
      <c r="H5" s="9">
        <f>INT($B$1/Constants!$C$52)</f>
        <v>2</v>
      </c>
    </row>
    <row r="6" spans="1:8" x14ac:dyDescent="0.25">
      <c r="A6" s="7" t="s">
        <v>94</v>
      </c>
      <c r="B6" s="17">
        <v>1</v>
      </c>
      <c r="C6" s="17">
        <v>1</v>
      </c>
      <c r="D6" s="17">
        <v>2</v>
      </c>
      <c r="E6" s="9">
        <f t="shared" si="0"/>
        <v>9</v>
      </c>
      <c r="F6" s="9">
        <f t="shared" si="1"/>
        <v>9</v>
      </c>
      <c r="G6" s="9">
        <f t="shared" si="2"/>
        <v>18</v>
      </c>
      <c r="H6" s="9">
        <f>INT($B$1/Constants!$C$52)</f>
        <v>2</v>
      </c>
    </row>
    <row r="7" spans="1:8" x14ac:dyDescent="0.25">
      <c r="A7" s="7" t="s">
        <v>150</v>
      </c>
      <c r="B7" s="17">
        <v>1</v>
      </c>
      <c r="C7" s="17">
        <v>1</v>
      </c>
      <c r="D7" s="17">
        <v>2</v>
      </c>
      <c r="E7" s="9">
        <f t="shared" si="0"/>
        <v>9</v>
      </c>
      <c r="F7" s="9">
        <f t="shared" si="1"/>
        <v>9</v>
      </c>
      <c r="G7" s="9">
        <f t="shared" si="2"/>
        <v>18</v>
      </c>
      <c r="H7" s="9">
        <f>INT($B$1/Constants!$C$52)</f>
        <v>2</v>
      </c>
    </row>
    <row r="8" spans="1:8" x14ac:dyDescent="0.25">
      <c r="A8" s="7" t="s">
        <v>156</v>
      </c>
      <c r="B8" s="17">
        <v>2</v>
      </c>
      <c r="C8" s="17">
        <v>1</v>
      </c>
      <c r="D8" s="17">
        <v>2</v>
      </c>
      <c r="E8" s="9">
        <f t="shared" si="0"/>
        <v>18</v>
      </c>
      <c r="F8" s="9">
        <f t="shared" si="1"/>
        <v>9</v>
      </c>
      <c r="G8" s="9">
        <f t="shared" si="2"/>
        <v>18</v>
      </c>
      <c r="H8" s="9">
        <f>INT($B$1/Constants!$C$52)</f>
        <v>2</v>
      </c>
    </row>
    <row r="9" spans="1:8" x14ac:dyDescent="0.25">
      <c r="A9" s="7" t="s">
        <v>128</v>
      </c>
      <c r="B9" s="17">
        <v>1</v>
      </c>
      <c r="C9" s="17">
        <v>1</v>
      </c>
      <c r="D9" s="17">
        <v>1</v>
      </c>
      <c r="E9" s="9">
        <f t="shared" si="0"/>
        <v>9</v>
      </c>
      <c r="F9" s="9">
        <f t="shared" si="1"/>
        <v>9</v>
      </c>
      <c r="G9" s="9">
        <f t="shared" si="2"/>
        <v>9</v>
      </c>
      <c r="H9" s="9">
        <f>INT($B$1/Constants!$C$52)</f>
        <v>2</v>
      </c>
    </row>
    <row r="10" spans="1:8" x14ac:dyDescent="0.25">
      <c r="A10" s="7" t="s">
        <v>125</v>
      </c>
      <c r="B10" s="17">
        <v>1</v>
      </c>
      <c r="C10" s="17">
        <v>0</v>
      </c>
      <c r="D10" s="17">
        <v>3</v>
      </c>
      <c r="E10" s="9">
        <f t="shared" si="0"/>
        <v>9</v>
      </c>
      <c r="F10" s="9">
        <f t="shared" si="1"/>
        <v>0</v>
      </c>
      <c r="G10" s="9">
        <f t="shared" si="2"/>
        <v>27</v>
      </c>
      <c r="H10" s="9">
        <f>INT($B$1/Constants!$C$52)</f>
        <v>2</v>
      </c>
    </row>
    <row r="11" spans="1:8" x14ac:dyDescent="0.25">
      <c r="A11" s="7" t="s">
        <v>131</v>
      </c>
      <c r="B11" s="17">
        <v>2</v>
      </c>
      <c r="C11" s="17">
        <v>2</v>
      </c>
      <c r="D11" s="17">
        <v>1</v>
      </c>
      <c r="E11" s="9">
        <f t="shared" si="0"/>
        <v>18</v>
      </c>
      <c r="F11" s="9">
        <f t="shared" si="1"/>
        <v>18</v>
      </c>
      <c r="G11" s="9">
        <f t="shared" si="2"/>
        <v>9</v>
      </c>
      <c r="H11" s="9">
        <f>INT($B$1/Constants!$C$52)</f>
        <v>2</v>
      </c>
    </row>
    <row r="12" spans="1:8" x14ac:dyDescent="0.25">
      <c r="A12" s="7" t="s">
        <v>478</v>
      </c>
      <c r="B12" s="17">
        <v>2</v>
      </c>
      <c r="C12" s="17">
        <v>1</v>
      </c>
      <c r="D12" s="17">
        <v>1</v>
      </c>
      <c r="E12" s="9">
        <f t="shared" si="0"/>
        <v>18</v>
      </c>
      <c r="F12" s="9">
        <f t="shared" si="1"/>
        <v>9</v>
      </c>
      <c r="G12" s="9">
        <f t="shared" si="2"/>
        <v>9</v>
      </c>
      <c r="H12" s="9">
        <f>INT($B$1/Constants!$C$52)</f>
        <v>2</v>
      </c>
    </row>
    <row r="14" spans="1:8" x14ac:dyDescent="0.25">
      <c r="A14" s="9" t="s">
        <v>479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Matchup</vt:lpstr>
      <vt:lpstr>Units</vt:lpstr>
      <vt:lpstr>Classes</vt:lpstr>
      <vt:lpstr>Skills</vt:lpstr>
      <vt:lpstr>Stage Summary</vt:lpstr>
      <vt:lpstr>Constants</vt:lpstr>
      <vt:lpstr>Level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Zhien Wang</cp:lastModifiedBy>
  <dcterms:created xsi:type="dcterms:W3CDTF">2026-10-01T06:23:06Z</dcterms:created>
  <dcterms:modified xsi:type="dcterms:W3CDTF">2026-10-01T06:23:12Z</dcterms:modified>
</cp:coreProperties>
</file>